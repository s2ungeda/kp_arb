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박작가\Desktop\"/>
    </mc:Choice>
  </mc:AlternateContent>
  <xr:revisionPtr revIDLastSave="0" documentId="13_ncr:1_{57403A65-55A0-4816-BE57-011EAB7C59B1}" xr6:coauthVersionLast="47" xr6:coauthVersionMax="47" xr10:uidLastSave="{00000000-0000-0000-0000-000000000000}"/>
  <bookViews>
    <workbookView showHorizontalScroll="0" showVerticalScroll="0" xWindow="-15" yWindow="45" windowWidth="15825" windowHeight="20805" xr2:uid="{D3C2ABFC-58DF-42D1-9DC6-6B9D3E36FCA4}"/>
  </bookViews>
  <sheets>
    <sheet name="시세" sheetId="1" r:id="rId1"/>
    <sheet name="메인" sheetId="2" r:id="rId2"/>
    <sheet name="data" sheetId="6" r:id="rId3"/>
    <sheet name="Sheet5" sheetId="13" r:id="rId4"/>
    <sheet name="memo" sheetId="3" r:id="rId5"/>
    <sheet name="0812주문화면" sheetId="9" r:id="rId6"/>
    <sheet name="Sheet2" sheetId="10" r:id="rId7"/>
    <sheet name="Sheet3" sheetId="11" r:id="rId8"/>
    <sheet name="Sheet1" sheetId="14" r:id="rId9"/>
  </sheets>
  <calcPr calcId="191029"/>
</workbook>
</file>

<file path=xl/calcChain.xml><?xml version="1.0" encoding="utf-8"?>
<calcChain xmlns="http://schemas.openxmlformats.org/spreadsheetml/2006/main">
  <c r="S2" i="2" l="1"/>
  <c r="R57" i="2"/>
  <c r="S59" i="2"/>
  <c r="Q59" i="2"/>
  <c r="T59" i="2"/>
  <c r="S66" i="2"/>
  <c r="S67" i="2"/>
  <c r="S68" i="2"/>
  <c r="S69" i="2"/>
  <c r="S65" i="2"/>
  <c r="Q66" i="2"/>
  <c r="Q67" i="2"/>
  <c r="Q68" i="2"/>
  <c r="Q69" i="2"/>
  <c r="Q65" i="2"/>
  <c r="R59" i="2"/>
  <c r="Q16" i="2"/>
  <c r="K25" i="2"/>
  <c r="V33" i="2"/>
  <c r="U38" i="2" s="1"/>
  <c r="U33" i="2"/>
  <c r="U25" i="2"/>
  <c r="V25" i="2"/>
  <c r="U30" i="2" s="1"/>
  <c r="N33" i="2"/>
  <c r="M38" i="2" s="1"/>
  <c r="N25" i="2"/>
  <c r="M30" i="2"/>
  <c r="AI8" i="1"/>
  <c r="AI66" i="1"/>
  <c r="AI67" i="1"/>
  <c r="O1" i="1"/>
  <c r="E66" i="1"/>
  <c r="AG66" i="1" s="1"/>
  <c r="Z68" i="1"/>
  <c r="P68" i="1"/>
  <c r="O68" i="1"/>
  <c r="M68" i="1"/>
  <c r="L68" i="1"/>
  <c r="K68" i="1"/>
  <c r="J68" i="1"/>
  <c r="I68" i="1"/>
  <c r="H68" i="1"/>
  <c r="G68" i="1"/>
  <c r="F68" i="1"/>
  <c r="E68" i="1"/>
  <c r="AG68" i="1" s="1"/>
  <c r="D68" i="1"/>
  <c r="AA68" i="1" s="1"/>
  <c r="Z67" i="1"/>
  <c r="P67" i="1"/>
  <c r="O67" i="1"/>
  <c r="M67" i="1"/>
  <c r="L67" i="1"/>
  <c r="K67" i="1"/>
  <c r="J67" i="1"/>
  <c r="I67" i="1"/>
  <c r="H67" i="1"/>
  <c r="G67" i="1"/>
  <c r="F67" i="1"/>
  <c r="E67" i="1"/>
  <c r="AG67" i="1" s="1"/>
  <c r="H21" i="2" s="1"/>
  <c r="D67" i="1"/>
  <c r="AA67" i="1" s="1"/>
  <c r="M7" i="2" s="1"/>
  <c r="Z66" i="1"/>
  <c r="P66" i="1"/>
  <c r="O66" i="1"/>
  <c r="M66" i="1"/>
  <c r="L66" i="1"/>
  <c r="K66" i="1"/>
  <c r="J66" i="1"/>
  <c r="I66" i="1"/>
  <c r="H66" i="1"/>
  <c r="G66" i="1"/>
  <c r="F66" i="1"/>
  <c r="D66" i="1"/>
  <c r="AA66" i="1" s="1"/>
  <c r="B34" i="1"/>
  <c r="C34" i="1"/>
  <c r="D34" i="1"/>
  <c r="E34" i="1"/>
  <c r="F34" i="1"/>
  <c r="G34" i="1"/>
  <c r="H34" i="1"/>
  <c r="I34" i="1"/>
  <c r="J34" i="1"/>
  <c r="R15" i="2"/>
  <c r="R16" i="2"/>
  <c r="R25" i="2"/>
  <c r="Q30" i="2" s="1"/>
  <c r="S25" i="2"/>
  <c r="T25" i="2"/>
  <c r="S30" i="2" s="1"/>
  <c r="R27" i="2"/>
  <c r="T27" i="2"/>
  <c r="R28" i="2"/>
  <c r="T28" i="2"/>
  <c r="R29" i="2"/>
  <c r="T29" i="2"/>
  <c r="R33" i="2"/>
  <c r="Q38" i="2" s="1"/>
  <c r="S33" i="2"/>
  <c r="T33" i="2"/>
  <c r="S38" i="2" s="1"/>
  <c r="T35" i="2"/>
  <c r="T36" i="2"/>
  <c r="T37" i="2"/>
  <c r="Q41" i="2"/>
  <c r="R41" i="2"/>
  <c r="Q46" i="2" s="1"/>
  <c r="S41" i="2"/>
  <c r="T41" i="2"/>
  <c r="S46" i="2" s="1"/>
  <c r="R43" i="2"/>
  <c r="T43" i="2"/>
  <c r="R44" i="2"/>
  <c r="T44" i="2"/>
  <c r="R45" i="2"/>
  <c r="T45" i="2"/>
  <c r="Q49" i="2"/>
  <c r="R49" i="2"/>
  <c r="Q54" i="2" s="1"/>
  <c r="S49" i="2"/>
  <c r="T49" i="2"/>
  <c r="S54" i="2" s="1"/>
  <c r="R51" i="2"/>
  <c r="T51" i="2"/>
  <c r="R52" i="2"/>
  <c r="T52" i="2"/>
  <c r="R53" i="2"/>
  <c r="T53" i="2"/>
  <c r="AI59" i="1"/>
  <c r="L53" i="2"/>
  <c r="L49" i="2"/>
  <c r="L51" i="2" s="1"/>
  <c r="K49" i="2"/>
  <c r="J49" i="2"/>
  <c r="I54" i="2" s="1"/>
  <c r="J55" i="2" s="1"/>
  <c r="I49" i="2"/>
  <c r="K41" i="2"/>
  <c r="I41" i="2"/>
  <c r="L45" i="2"/>
  <c r="L41" i="2"/>
  <c r="L43" i="2" s="1"/>
  <c r="J41" i="2"/>
  <c r="I46" i="2" s="1"/>
  <c r="J47" i="2" s="1"/>
  <c r="L37" i="2"/>
  <c r="L33" i="2"/>
  <c r="K38" i="2" s="1"/>
  <c r="J33" i="2"/>
  <c r="I38" i="2" s="1"/>
  <c r="J39" i="2" s="1"/>
  <c r="L25" i="2"/>
  <c r="AI7" i="1"/>
  <c r="E166" i="9"/>
  <c r="E165" i="9"/>
  <c r="E164" i="9"/>
  <c r="H10" i="3"/>
  <c r="N8" i="3"/>
  <c r="L7" i="3"/>
  <c r="K7" i="3"/>
  <c r="J7" i="3"/>
  <c r="I7" i="3"/>
  <c r="L6" i="3"/>
  <c r="K6" i="3"/>
  <c r="J6" i="3"/>
  <c r="I6" i="3"/>
  <c r="O5" i="3"/>
  <c r="N5" i="3"/>
  <c r="L5" i="3"/>
  <c r="K5" i="3"/>
  <c r="J5" i="3"/>
  <c r="I5" i="3"/>
  <c r="L29" i="2"/>
  <c r="J25" i="2"/>
  <c r="I30" i="2" s="1"/>
  <c r="J31" i="2" s="1"/>
  <c r="H61" i="2"/>
  <c r="I58" i="2"/>
  <c r="J58" i="2" s="1"/>
  <c r="H58" i="2"/>
  <c r="K1" i="2"/>
  <c r="I1" i="2"/>
  <c r="F74" i="1"/>
  <c r="E74" i="1"/>
  <c r="C74" i="1"/>
  <c r="F73" i="1"/>
  <c r="E73" i="1"/>
  <c r="C73" i="1"/>
  <c r="F72" i="1"/>
  <c r="E72" i="1"/>
  <c r="C72" i="1"/>
  <c r="F71" i="1"/>
  <c r="E71" i="1"/>
  <c r="C71" i="1"/>
  <c r="Z65" i="1"/>
  <c r="P65" i="1"/>
  <c r="O65" i="1"/>
  <c r="L65" i="1"/>
  <c r="K65" i="1"/>
  <c r="I65" i="1"/>
  <c r="H65" i="1"/>
  <c r="G65" i="1"/>
  <c r="F65" i="1"/>
  <c r="D65" i="1"/>
  <c r="O12" i="1" s="1"/>
  <c r="Z63" i="1"/>
  <c r="P63" i="1"/>
  <c r="O63" i="1"/>
  <c r="M63" i="1"/>
  <c r="L63" i="1"/>
  <c r="K63" i="1"/>
  <c r="J63" i="1"/>
  <c r="I63" i="1"/>
  <c r="H63" i="1"/>
  <c r="G63" i="1"/>
  <c r="F63" i="1"/>
  <c r="E63" i="1"/>
  <c r="AG63" i="1" s="1"/>
  <c r="D63" i="1"/>
  <c r="AA63" i="1" s="1"/>
  <c r="Z62" i="1"/>
  <c r="P62" i="1"/>
  <c r="O62" i="1"/>
  <c r="M62" i="1"/>
  <c r="L62" i="1"/>
  <c r="K62" i="1"/>
  <c r="J62" i="1"/>
  <c r="I62" i="1"/>
  <c r="H62" i="1"/>
  <c r="G62" i="1"/>
  <c r="F62" i="1"/>
  <c r="D62" i="1"/>
  <c r="AA62" i="1" s="1"/>
  <c r="Z61" i="1"/>
  <c r="AI61" i="1"/>
  <c r="P61" i="1"/>
  <c r="O61" i="1"/>
  <c r="M61" i="1"/>
  <c r="L61" i="1"/>
  <c r="K61" i="1"/>
  <c r="J61" i="1"/>
  <c r="I61" i="1"/>
  <c r="H61" i="1"/>
  <c r="G61" i="1"/>
  <c r="F61" i="1"/>
  <c r="E61" i="1"/>
  <c r="AG61" i="1" s="1"/>
  <c r="H20" i="2" s="1"/>
  <c r="D61" i="1"/>
  <c r="AA61" i="1" s="1"/>
  <c r="Z60" i="1"/>
  <c r="P60" i="1"/>
  <c r="O60" i="1"/>
  <c r="M60" i="1"/>
  <c r="L60" i="1"/>
  <c r="K60" i="1"/>
  <c r="J60" i="1"/>
  <c r="I60" i="1"/>
  <c r="H60" i="1"/>
  <c r="G60" i="1"/>
  <c r="F60" i="1"/>
  <c r="D60" i="1"/>
  <c r="AG7" i="1" s="1"/>
  <c r="Z59" i="1"/>
  <c r="P59" i="1"/>
  <c r="O59" i="1"/>
  <c r="M59" i="1"/>
  <c r="L59" i="1"/>
  <c r="K59" i="1"/>
  <c r="J59" i="1"/>
  <c r="I59" i="1"/>
  <c r="H59" i="1"/>
  <c r="G59" i="1"/>
  <c r="F59" i="1"/>
  <c r="E59" i="1"/>
  <c r="D59" i="1"/>
  <c r="AA59" i="1" s="1"/>
  <c r="T7" i="2" s="1"/>
  <c r="Z58" i="1"/>
  <c r="P58" i="1"/>
  <c r="O58" i="1"/>
  <c r="M58" i="1"/>
  <c r="L58" i="1"/>
  <c r="K58" i="1"/>
  <c r="J58" i="1"/>
  <c r="I58" i="1"/>
  <c r="H58" i="1"/>
  <c r="G58" i="1"/>
  <c r="F58" i="1"/>
  <c r="D58" i="1"/>
  <c r="AG8" i="1" s="1"/>
  <c r="J36" i="1"/>
  <c r="I36" i="1"/>
  <c r="H36" i="1"/>
  <c r="G36" i="1"/>
  <c r="F36" i="1"/>
  <c r="E36" i="1"/>
  <c r="D36" i="1"/>
  <c r="C36" i="1"/>
  <c r="B36" i="1"/>
  <c r="Z35" i="1"/>
  <c r="Z34" i="1"/>
  <c r="Z33" i="1"/>
  <c r="J33" i="1"/>
  <c r="I33" i="1"/>
  <c r="H33" i="1"/>
  <c r="G33" i="1"/>
  <c r="F33" i="1"/>
  <c r="E33" i="1"/>
  <c r="D33" i="1"/>
  <c r="C33" i="1"/>
  <c r="B33" i="1"/>
  <c r="J10" i="1"/>
  <c r="I10" i="1"/>
  <c r="H10" i="1"/>
  <c r="G10" i="1"/>
  <c r="F10" i="1"/>
  <c r="E10" i="1"/>
  <c r="D10" i="1"/>
  <c r="C10" i="1"/>
  <c r="B10" i="1"/>
  <c r="I16" i="2" s="1"/>
  <c r="Z9" i="1"/>
  <c r="J9" i="1"/>
  <c r="I9" i="1"/>
  <c r="H9" i="1"/>
  <c r="G9" i="1"/>
  <c r="F9" i="1"/>
  <c r="E9" i="1"/>
  <c r="D9" i="1"/>
  <c r="C9" i="1"/>
  <c r="B9" i="1"/>
  <c r="Z8" i="1"/>
  <c r="J8" i="1"/>
  <c r="Q11" i="2" s="1"/>
  <c r="I8" i="1"/>
  <c r="Q12" i="2" s="1"/>
  <c r="H8" i="1"/>
  <c r="G8" i="1"/>
  <c r="F8" i="1"/>
  <c r="Q6" i="2" s="1"/>
  <c r="E8" i="1"/>
  <c r="D8" i="1"/>
  <c r="Q8" i="2" s="1"/>
  <c r="C8" i="1"/>
  <c r="Q9" i="2" s="1"/>
  <c r="B8" i="1"/>
  <c r="L8" i="1" s="1"/>
  <c r="Z7" i="1"/>
  <c r="J7" i="1"/>
  <c r="I11" i="2" s="1"/>
  <c r="I7" i="1"/>
  <c r="I12" i="2" s="1"/>
  <c r="H7" i="1"/>
  <c r="G7" i="1"/>
  <c r="F7" i="1"/>
  <c r="I6" i="2" s="1"/>
  <c r="E7" i="1"/>
  <c r="D7" i="1"/>
  <c r="I8" i="2" s="1"/>
  <c r="C7" i="1"/>
  <c r="I9" i="2" s="1"/>
  <c r="B7" i="1"/>
  <c r="L7" i="1" s="1"/>
  <c r="P6" i="1"/>
  <c r="M6" i="1" s="1"/>
  <c r="K2" i="1"/>
  <c r="F2" i="1"/>
  <c r="K1" i="1"/>
  <c r="H1" i="1"/>
  <c r="O11" i="1"/>
  <c r="E65" i="1" s="1"/>
  <c r="I1" i="1" l="1"/>
  <c r="AA9" i="1" s="1"/>
  <c r="AO9" i="1" s="1"/>
  <c r="C15" i="6"/>
  <c r="C13" i="6"/>
  <c r="AJ66" i="1"/>
  <c r="U23" i="2" s="1"/>
  <c r="AC68" i="1"/>
  <c r="AO68" i="1" s="1"/>
  <c r="AB68" i="1"/>
  <c r="AE68" i="1" s="1"/>
  <c r="AB67" i="1"/>
  <c r="M6" i="2" s="1"/>
  <c r="AC66" i="1"/>
  <c r="U8" i="2" s="1"/>
  <c r="AB66" i="1"/>
  <c r="U6" i="2" s="1"/>
  <c r="AC67" i="1"/>
  <c r="M8" i="2" s="1"/>
  <c r="P21" i="2"/>
  <c r="U7" i="2"/>
  <c r="AJ67" i="1"/>
  <c r="M23" i="2" s="1"/>
  <c r="N68" i="1"/>
  <c r="AD68" i="1"/>
  <c r="N67" i="1"/>
  <c r="N66" i="1"/>
  <c r="AD67" i="1"/>
  <c r="M21" i="2" s="1"/>
  <c r="AD66" i="1"/>
  <c r="U21" i="2" s="1"/>
  <c r="AB62" i="1"/>
  <c r="AN62" i="1" s="1"/>
  <c r="K54" i="2"/>
  <c r="K46" i="2"/>
  <c r="T54" i="2"/>
  <c r="K30" i="2"/>
  <c r="L27" i="2" s="1"/>
  <c r="T30" i="2"/>
  <c r="T38" i="2"/>
  <c r="T46" i="2"/>
  <c r="R54" i="2"/>
  <c r="R46" i="2"/>
  <c r="R30" i="2"/>
  <c r="Q7" i="2"/>
  <c r="R55" i="2"/>
  <c r="R31" i="2"/>
  <c r="R39" i="2"/>
  <c r="R47" i="2"/>
  <c r="L35" i="2"/>
  <c r="AJ61" i="1"/>
  <c r="AB59" i="1"/>
  <c r="AB61" i="1"/>
  <c r="AC61" i="1"/>
  <c r="L8" i="2" s="1"/>
  <c r="AC63" i="1"/>
  <c r="AC59" i="1"/>
  <c r="AB63" i="1"/>
  <c r="AN63" i="1" s="1"/>
  <c r="AC60" i="1"/>
  <c r="K8" i="2" s="1"/>
  <c r="AB60" i="1"/>
  <c r="K6" i="2" s="1"/>
  <c r="J53" i="2" s="1"/>
  <c r="AB58" i="1"/>
  <c r="S6" i="2" s="1"/>
  <c r="AB65" i="1"/>
  <c r="AC58" i="1"/>
  <c r="S8" i="2" s="1"/>
  <c r="AC62" i="1"/>
  <c r="D72" i="1"/>
  <c r="B72" i="1" s="1"/>
  <c r="Q13" i="2" s="1"/>
  <c r="D73" i="1"/>
  <c r="B73" i="1" s="1"/>
  <c r="I13" i="2" s="1"/>
  <c r="Q60" i="1"/>
  <c r="AA60" i="1"/>
  <c r="K7" i="2" s="1"/>
  <c r="M25" i="2" s="1"/>
  <c r="AD61" i="1"/>
  <c r="AA58" i="1"/>
  <c r="S7" i="2" s="1"/>
  <c r="Q58" i="1"/>
  <c r="D71" i="1"/>
  <c r="B71" i="1" s="1"/>
  <c r="I2" i="2" s="1"/>
  <c r="AG9" i="1"/>
  <c r="N58" i="1"/>
  <c r="N59" i="1"/>
  <c r="N62" i="1"/>
  <c r="AA65" i="1"/>
  <c r="N61" i="1"/>
  <c r="N63" i="1"/>
  <c r="D74" i="1"/>
  <c r="B74" i="1" s="1"/>
  <c r="AG59" i="1"/>
  <c r="P20" i="2" s="1"/>
  <c r="AG34" i="1"/>
  <c r="I7" i="2"/>
  <c r="L9" i="1"/>
  <c r="AD63" i="1"/>
  <c r="AC65" i="1"/>
  <c r="AG33" i="1"/>
  <c r="AG35" i="1"/>
  <c r="L7" i="2"/>
  <c r="L10" i="1"/>
  <c r="N60" i="1"/>
  <c r="I17" i="2" l="1"/>
  <c r="F9" i="6" s="1"/>
  <c r="F11" i="6"/>
  <c r="Q25" i="2"/>
  <c r="Q33" i="2"/>
  <c r="AN68" i="1"/>
  <c r="AF68" i="1"/>
  <c r="AO67" i="1"/>
  <c r="AE66" i="1"/>
  <c r="U20" i="2" s="1"/>
  <c r="AF66" i="1"/>
  <c r="U22" i="2" s="1"/>
  <c r="AN66" i="1"/>
  <c r="AF67" i="1"/>
  <c r="M22" i="2" s="1"/>
  <c r="AO66" i="1"/>
  <c r="AE67" i="1"/>
  <c r="M20" i="2" s="1"/>
  <c r="AN67" i="1"/>
  <c r="I33" i="2"/>
  <c r="M33" i="2"/>
  <c r="AN61" i="1"/>
  <c r="AE61" i="1"/>
  <c r="AN59" i="1"/>
  <c r="T6" i="2"/>
  <c r="R37" i="2" s="1"/>
  <c r="AO59" i="1"/>
  <c r="T8" i="2"/>
  <c r="AD59" i="1"/>
  <c r="S9" i="2" s="1"/>
  <c r="E11" i="6" s="1"/>
  <c r="AJ59" i="1"/>
  <c r="T23" i="2" s="1"/>
  <c r="L21" i="2"/>
  <c r="L23" i="2"/>
  <c r="J45" i="2"/>
  <c r="J29" i="2"/>
  <c r="K33" i="2"/>
  <c r="L6" i="2"/>
  <c r="J37" i="2" s="1"/>
  <c r="AO61" i="1"/>
  <c r="AE63" i="1"/>
  <c r="AF61" i="1"/>
  <c r="AO58" i="1"/>
  <c r="AO63" i="1"/>
  <c r="AF63" i="1"/>
  <c r="AO62" i="1"/>
  <c r="K9" i="2"/>
  <c r="E9" i="6" s="1"/>
  <c r="AN60" i="1"/>
  <c r="AN58" i="1"/>
  <c r="AO60" i="1"/>
  <c r="AC34" i="1"/>
  <c r="AB7" i="1"/>
  <c r="AB34" i="1"/>
  <c r="AC7" i="1"/>
  <c r="AA35" i="1"/>
  <c r="AO35" i="1" s="1"/>
  <c r="AF59" i="1"/>
  <c r="T22" i="2" s="1"/>
  <c r="AA7" i="1"/>
  <c r="AA34" i="1"/>
  <c r="AN34" i="1" s="1"/>
  <c r="H1" i="2"/>
  <c r="AC35" i="1"/>
  <c r="AC9" i="1"/>
  <c r="AF9" i="1" s="1"/>
  <c r="AA33" i="1"/>
  <c r="AO33" i="1" s="1"/>
  <c r="AB35" i="1"/>
  <c r="AC33" i="1"/>
  <c r="AC8" i="1"/>
  <c r="AA8" i="1"/>
  <c r="AB9" i="1"/>
  <c r="AB33" i="1"/>
  <c r="AB8" i="1"/>
  <c r="R6" i="2" s="1"/>
  <c r="I25" i="2"/>
  <c r="AE59" i="1"/>
  <c r="T20" i="2" s="1"/>
  <c r="AD9" i="1"/>
  <c r="AN9" i="1"/>
  <c r="R36" i="2" l="1"/>
  <c r="J36" i="2"/>
  <c r="T57" i="2"/>
  <c r="J2" i="2"/>
  <c r="J1" i="2"/>
  <c r="T21" i="2"/>
  <c r="R12" i="2"/>
  <c r="AJ8" i="1"/>
  <c r="R7" i="2"/>
  <c r="R11" i="2" s="1"/>
  <c r="AL8" i="1"/>
  <c r="R8" i="2"/>
  <c r="R9" i="2" s="1"/>
  <c r="Q10" i="2"/>
  <c r="P47" i="2"/>
  <c r="P55" i="2"/>
  <c r="P39" i="2"/>
  <c r="P31" i="2"/>
  <c r="AE8" i="1"/>
  <c r="R20" i="2" s="1"/>
  <c r="AK8" i="1"/>
  <c r="L20" i="2"/>
  <c r="L22" i="2"/>
  <c r="J52" i="2"/>
  <c r="L52" i="2"/>
  <c r="L54" i="2" s="1"/>
  <c r="H55" i="2"/>
  <c r="H47" i="2"/>
  <c r="J44" i="2"/>
  <c r="L44" i="2"/>
  <c r="L46" i="2" s="1"/>
  <c r="H31" i="2"/>
  <c r="H39" i="2"/>
  <c r="L36" i="2"/>
  <c r="L38" i="2" s="1"/>
  <c r="L28" i="2"/>
  <c r="L30" i="2" s="1"/>
  <c r="AF7" i="1"/>
  <c r="AL7" i="1"/>
  <c r="J15" i="2" s="1"/>
  <c r="AE7" i="1"/>
  <c r="AK7" i="1"/>
  <c r="AJ7" i="1"/>
  <c r="J28" i="2"/>
  <c r="AO7" i="1"/>
  <c r="H8" i="2" s="1"/>
  <c r="AO8" i="1"/>
  <c r="P8" i="2" s="1"/>
  <c r="J8" i="2"/>
  <c r="J6" i="2"/>
  <c r="AD7" i="1"/>
  <c r="J7" i="2"/>
  <c r="AN7" i="1"/>
  <c r="H6" i="2" s="1"/>
  <c r="AD35" i="1"/>
  <c r="AN35" i="1"/>
  <c r="AF8" i="1"/>
  <c r="R22" i="2" s="1"/>
  <c r="AE9" i="1"/>
  <c r="AN33" i="1"/>
  <c r="AD8" i="1"/>
  <c r="R21" i="2" s="1"/>
  <c r="U11" i="2" s="1"/>
  <c r="I10" i="2"/>
  <c r="AO34" i="1"/>
  <c r="AN8" i="1"/>
  <c r="P6" i="2" s="1"/>
  <c r="AD34" i="1"/>
  <c r="AD33" i="1"/>
  <c r="C11" i="6" l="1"/>
  <c r="J35" i="2"/>
  <c r="J38" i="2" s="1"/>
  <c r="R35" i="2"/>
  <c r="R38" i="2" s="1"/>
  <c r="T15" i="2"/>
  <c r="U15" i="2"/>
  <c r="T16" i="2"/>
  <c r="U16" i="2"/>
  <c r="T12" i="2"/>
  <c r="U12" i="2"/>
  <c r="T9" i="2"/>
  <c r="U9" i="2"/>
  <c r="K31" i="2"/>
  <c r="L31" i="2" s="1"/>
  <c r="T11" i="2"/>
  <c r="S39" i="2"/>
  <c r="T39" i="2" s="1"/>
  <c r="S47" i="2"/>
  <c r="T47" i="2" s="1"/>
  <c r="S31" i="2"/>
  <c r="T31" i="2" s="1"/>
  <c r="S55" i="2"/>
  <c r="T55" i="2" s="1"/>
  <c r="J11" i="2"/>
  <c r="J9" i="2"/>
  <c r="J16" i="2"/>
  <c r="J20" i="2"/>
  <c r="J22" i="2"/>
  <c r="L9" i="2" s="1"/>
  <c r="K47" i="2"/>
  <c r="L47" i="2" s="1"/>
  <c r="K55" i="2"/>
  <c r="L55" i="2" s="1"/>
  <c r="K39" i="2"/>
  <c r="L39" i="2" s="1"/>
  <c r="J51" i="2"/>
  <c r="J54" i="2" s="1"/>
  <c r="J27" i="2"/>
  <c r="J30" i="2" s="1"/>
  <c r="J43" i="2"/>
  <c r="J46" i="2" s="1"/>
  <c r="J12" i="2"/>
  <c r="J21" i="2"/>
  <c r="D11" i="6" l="1"/>
  <c r="C9" i="6"/>
  <c r="M9" i="2"/>
  <c r="M15" i="2"/>
  <c r="M12" i="2"/>
  <c r="M16" i="2"/>
  <c r="L11" i="2"/>
  <c r="M11" i="2"/>
  <c r="L15" i="2"/>
  <c r="L16" i="2"/>
  <c r="L12" i="2"/>
  <c r="D9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박프로</author>
  </authors>
  <commentList>
    <comment ref="D57" authorId="0" shapeId="0" xr:uid="{F7463008-4266-45E7-8711-5A32091C8834}">
      <text>
        <r>
          <rPr>
            <b/>
            <sz val="9"/>
            <color indexed="81"/>
            <rFont val="돋움"/>
            <family val="3"/>
            <charset val="129"/>
          </rPr>
          <t>박프로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프리</t>
        </r>
        <r>
          <rPr>
            <sz val="9"/>
            <color indexed="81"/>
            <rFont val="Tahoma"/>
            <family val="2"/>
          </rPr>
          <t xml:space="preserve">+ </t>
        </r>
        <r>
          <rPr>
            <sz val="9"/>
            <color indexed="81"/>
            <rFont val="돋움"/>
            <family val="3"/>
            <charset val="129"/>
          </rPr>
          <t>정규</t>
        </r>
        <r>
          <rPr>
            <sz val="9"/>
            <color indexed="81"/>
            <rFont val="Tahoma"/>
            <family val="2"/>
          </rPr>
          <t xml:space="preserve">+ </t>
        </r>
        <r>
          <rPr>
            <sz val="9"/>
            <color indexed="81"/>
            <rFont val="돋움"/>
            <family val="3"/>
            <charset val="129"/>
          </rPr>
          <t>애프터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모두반영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박프로</author>
  </authors>
  <commentList>
    <comment ref="H30" authorId="0" shapeId="0" xr:uid="{64A97A87-531F-4E5C-8C51-B94630FAF785}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회세트수량</t>
        </r>
      </text>
    </comment>
    <comment ref="H31" authorId="0" shapeId="0" xr:uid="{F3B3A09E-06DF-4D50-8656-ABB7B7E49C3A}">
      <text>
        <r>
          <rPr>
            <b/>
            <sz val="9"/>
            <color indexed="81"/>
            <rFont val="돋움"/>
            <family val="3"/>
            <charset val="129"/>
          </rPr>
          <t>실시간헤지량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박프로</author>
  </authors>
  <commentList>
    <comment ref="B79" authorId="0" shapeId="0" xr:uid="{C4EDB980-5C49-4D4D-82B2-32847B443E0D}">
      <text>
        <r>
          <rPr>
            <b/>
            <sz val="9"/>
            <color indexed="81"/>
            <rFont val="돋움"/>
            <family val="3"/>
            <charset val="129"/>
          </rPr>
          <t>실행버튼 크게 부탁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17" authorId="0" shapeId="0" xr:uid="{4204138F-C3CF-479B-AF5A-4584B9FDBD7C}">
      <text>
        <r>
          <rPr>
            <b/>
            <sz val="9"/>
            <color indexed="81"/>
            <rFont val="돋움"/>
            <family val="3"/>
            <charset val="129"/>
          </rPr>
          <t>설정버튼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세팅함</t>
        </r>
      </text>
    </comment>
    <comment ref="K125" authorId="0" shapeId="0" xr:uid="{0331C4F0-B632-4EEF-8180-8E106F0306B5}">
      <text>
        <r>
          <rPr>
            <b/>
            <sz val="8"/>
            <color indexed="81"/>
            <rFont val="돋움"/>
            <family val="3"/>
            <charset val="129"/>
          </rPr>
          <t xml:space="preserve">모든 주문 상품은 매수면 +, 매도면 - 표기 </t>
        </r>
      </text>
    </comment>
    <comment ref="K131" authorId="0" shapeId="0" xr:uid="{16281AA8-E34A-40D0-A6C8-B23690F867AC}">
      <text>
        <r>
          <rPr>
            <b/>
            <sz val="8"/>
            <color indexed="81"/>
            <rFont val="돋움"/>
            <family val="3"/>
            <charset val="129"/>
          </rPr>
          <t xml:space="preserve">모든 주문 상품은 매수면 +, 매도면 - 표기 </t>
        </r>
      </text>
    </comment>
    <comment ref="K173" authorId="0" shapeId="0" xr:uid="{8BD4622E-D683-44B8-9F85-B5091EBCE02B}">
      <text>
        <r>
          <rPr>
            <b/>
            <sz val="9"/>
            <color indexed="81"/>
            <rFont val="Tahoma"/>
            <family val="2"/>
          </rPr>
          <t>SF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Q173" authorId="0" shapeId="0" xr:uid="{7B18FC94-DBD0-465E-9DBA-8153F96FF83D}">
      <text>
        <r>
          <rPr>
            <b/>
            <sz val="9"/>
            <color indexed="81"/>
            <rFont val="돋움"/>
            <family val="3"/>
            <charset val="129"/>
          </rPr>
          <t>설정버튼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세팅함</t>
        </r>
      </text>
    </comment>
    <comment ref="L179" authorId="0" shapeId="0" xr:uid="{99BD7A26-C577-40E6-B0EC-D3DE91AC57C1}">
      <text>
        <r>
          <rPr>
            <b/>
            <sz val="8"/>
            <color indexed="81"/>
            <rFont val="돋움"/>
            <family val="3"/>
            <charset val="129"/>
          </rPr>
          <t xml:space="preserve">모든 주문 상품은 매수면 +, 매도면 - 표기 </t>
        </r>
      </text>
    </comment>
    <comment ref="L186" authorId="0" shapeId="0" xr:uid="{3CFF08A9-58A6-42A0-BADB-D1966119D65F}">
      <text>
        <r>
          <rPr>
            <b/>
            <sz val="8"/>
            <color indexed="81"/>
            <rFont val="돋움"/>
            <family val="3"/>
            <charset val="129"/>
          </rPr>
          <t xml:space="preserve">모든 주문 상품은 매수면 +, 매도면 - 표기 </t>
        </r>
      </text>
    </comment>
  </commentList>
</comments>
</file>

<file path=xl/sharedStrings.xml><?xml version="1.0" encoding="utf-8"?>
<sst xmlns="http://schemas.openxmlformats.org/spreadsheetml/2006/main" count="890" uniqueCount="596">
  <si>
    <t>바이낸스 + 하이퍼리퀴드 + LS증권 실시간 시세 (RTD)</t>
  </si>
  <si>
    <t>KRX시각</t>
  </si>
  <si>
    <t>LS appkey</t>
  </si>
  <si>
    <t>인증상태</t>
  </si>
  <si>
    <t>거래소 선택(A) + 종목(B)  |  바이낸스=SKHYNIXUSDT · 하이퍼리퀴드=xyz:SKHX  ||  LS: appkey/시크릿키 입력 → 인증OK</t>
  </si>
  <si>
    <t>■ 하이퍼리퀴드 (가상자산)</t>
  </si>
  <si>
    <t>종목(입력)</t>
  </si>
  <si>
    <t>현재가</t>
  </si>
  <si>
    <t>오라클/인덱스</t>
  </si>
  <si>
    <t>매수호가</t>
  </si>
  <si>
    <t>매수잔량</t>
  </si>
  <si>
    <t>매도호가</t>
  </si>
  <si>
    <t>매도잔량</t>
  </si>
  <si>
    <t>펀딩(직전)</t>
  </si>
  <si>
    <t>펀딩(예상)</t>
  </si>
  <si>
    <t>카운트다운</t>
  </si>
  <si>
    <t>호가단위</t>
  </si>
  <si>
    <t>xyz:SKHX</t>
  </si>
  <si>
    <t>xyz:SMSN</t>
  </si>
  <si>
    <t>xyz:HYUNDAI</t>
  </si>
  <si>
    <t>■ 바이낸스 (가상자산)</t>
  </si>
  <si>
    <t>SKHYNIXUSDT</t>
  </si>
  <si>
    <t>SAMSUNGUSDT</t>
  </si>
  <si>
    <t>HYUNDAIUSDT</t>
  </si>
  <si>
    <t>■ LS증권 국내주식 + 주식선물 + KOSPI200/원달러 선물 (실시간/야간)</t>
  </si>
  <si>
    <t>종목명</t>
  </si>
  <si>
    <t>코드</t>
  </si>
  <si>
    <t>월물</t>
  </si>
  <si>
    <t>예상체결가</t>
  </si>
  <si>
    <t>예상체결량</t>
  </si>
  <si>
    <t>장운영</t>
  </si>
  <si>
    <t>삼성전자</t>
  </si>
  <si>
    <t>005930</t>
  </si>
  <si>
    <t>삼성전자 선물</t>
  </si>
  <si>
    <t>005930F</t>
  </si>
  <si>
    <t>최근월물</t>
  </si>
  <si>
    <t>SK하이닉스</t>
  </si>
  <si>
    <t>000660</t>
  </si>
  <si>
    <t>SK하이닉스 선물</t>
  </si>
  <si>
    <t>000660F</t>
  </si>
  <si>
    <t>원달러선물</t>
  </si>
  <si>
    <t>USD</t>
  </si>
  <si>
    <t>이론가(iNAV) = 전일NAV × (1 + 배율 × 기초자산등락률%/100)</t>
  </si>
  <si>
    <t xml:space="preserve">하이퍼리퀴드 </t>
  </si>
  <si>
    <t>SK</t>
  </si>
  <si>
    <t>모두 F주문 (round)</t>
  </si>
  <si>
    <t>총비용</t>
  </si>
  <si>
    <t>슬리피지</t>
  </si>
  <si>
    <t>fee</t>
  </si>
  <si>
    <t xml:space="preserve">선물은 호가가 같음 </t>
  </si>
  <si>
    <t>현</t>
  </si>
  <si>
    <t>1tick</t>
  </si>
  <si>
    <t>주선</t>
  </si>
  <si>
    <t>maker</t>
  </si>
  <si>
    <t>2배</t>
  </si>
  <si>
    <t>etf</t>
  </si>
  <si>
    <t>taker</t>
  </si>
  <si>
    <t>환율</t>
  </si>
  <si>
    <t>1원</t>
  </si>
  <si>
    <t>&lt;주간&gt;</t>
  </si>
  <si>
    <t xml:space="preserve">LS수수료 </t>
  </si>
  <si>
    <t>코스피 선물(미니 포함) : 0.0008%</t>
  </si>
  <si>
    <t>코스닥150/섹터선물 : 0.003%</t>
  </si>
  <si>
    <t>개별주식 선물 : 0.003%</t>
  </si>
  <si>
    <t xml:space="preserve">전략 : 오전장은 단타로.. 원웨이 그냥 매매도 가능 (환율도 열리지 않은 시장이니.. 바로 청산하는게 좋을듯 ) </t>
  </si>
  <si>
    <t>USD 선물 : 160원</t>
  </si>
  <si>
    <t xml:space="preserve">환율도 움직이지 않고, 마켓메이커가 못들어옴. ( 기회는 계속 될듯 ) </t>
  </si>
  <si>
    <t>그이후부터는 1% 이상의 괴리시 진입 8시반 괴리 발생 2.5%</t>
  </si>
  <si>
    <t>코스피 옵션 (미니, 위클리 포함) : 0.03%</t>
  </si>
  <si>
    <t>&lt;야간&gt;</t>
  </si>
  <si>
    <t>코스피 선물(미니 포함) : 0.0012%</t>
  </si>
  <si>
    <t>코스닥150/섹터선물 : 0.0035%</t>
  </si>
  <si>
    <t>USD선물 : 240원</t>
  </si>
  <si>
    <t>코스피 옵션(미니, 위클리) : 0.05%</t>
  </si>
  <si>
    <t xml:space="preserve">주식 0.01% : 조정 가능 </t>
  </si>
  <si>
    <t xml:space="preserve">조정 필요 </t>
  </si>
  <si>
    <t>현재가</t>
    <phoneticPr fontId="11" type="noConversion"/>
  </si>
  <si>
    <t>매도호가</t>
    <phoneticPr fontId="11" type="noConversion"/>
  </si>
  <si>
    <t>매수호가</t>
    <phoneticPr fontId="11" type="noConversion"/>
  </si>
  <si>
    <t>금액환산 호가잔량(만원)</t>
    <phoneticPr fontId="11" type="noConversion"/>
  </si>
  <si>
    <t>S</t>
    <phoneticPr fontId="11" type="noConversion"/>
  </si>
  <si>
    <t>SF</t>
    <phoneticPr fontId="11" type="noConversion"/>
  </si>
  <si>
    <t>주식현재가</t>
    <phoneticPr fontId="11" type="noConversion"/>
  </si>
  <si>
    <t>현재괴리</t>
    <phoneticPr fontId="11" type="noConversion"/>
  </si>
  <si>
    <t>매도괴리</t>
    <phoneticPr fontId="11" type="noConversion"/>
  </si>
  <si>
    <t>매수괴리</t>
    <phoneticPr fontId="11" type="noConversion"/>
  </si>
  <si>
    <t xml:space="preserve">선물옵션 1분전 주문은 취소안됨 </t>
    <phoneticPr fontId="11" type="noConversion"/>
  </si>
  <si>
    <t>HL</t>
  </si>
  <si>
    <t xml:space="preserve"> 주식대비 괴리</t>
    <phoneticPr fontId="11" type="noConversion"/>
  </si>
  <si>
    <t>삼성전자 sk순서 바뀜 유의</t>
    <phoneticPr fontId="11" type="noConversion"/>
  </si>
  <si>
    <t>(만원)</t>
    <phoneticPr fontId="11" type="noConversion"/>
  </si>
  <si>
    <t>oracle</t>
    <phoneticPr fontId="11" type="noConversion"/>
  </si>
  <si>
    <t>환산</t>
    <phoneticPr fontId="11" type="noConversion"/>
  </si>
  <si>
    <t>fund</t>
    <phoneticPr fontId="11" type="noConversion"/>
  </si>
  <si>
    <t>-hl</t>
    <phoneticPr fontId="11" type="noConversion"/>
  </si>
  <si>
    <t>+hl</t>
    <phoneticPr fontId="11" type="noConversion"/>
  </si>
  <si>
    <t>HY_H-S</t>
    <phoneticPr fontId="11" type="noConversion"/>
  </si>
  <si>
    <t>HY_SF-S</t>
    <phoneticPr fontId="11" type="noConversion"/>
  </si>
  <si>
    <t>HY_H-SF</t>
    <phoneticPr fontId="11" type="noConversion"/>
  </si>
  <si>
    <t>SS_H-S</t>
  </si>
  <si>
    <t>SS_SF-S</t>
  </si>
  <si>
    <t>15:40~20:00</t>
    <phoneticPr fontId="11" type="noConversion"/>
  </si>
  <si>
    <t>9:00~15:20</t>
    <phoneticPr fontId="11" type="noConversion"/>
  </si>
  <si>
    <t>종목명</t>
    <phoneticPr fontId="11" type="noConversion"/>
  </si>
  <si>
    <t>데이타저장시간</t>
    <phoneticPr fontId="11" type="noConversion"/>
  </si>
  <si>
    <t xml:space="preserve">+50%.-50%레인지 바깥은 데이터 안 받음 </t>
    <phoneticPr fontId="11" type="noConversion"/>
  </si>
  <si>
    <t>청산손(천)</t>
    <phoneticPr fontId="11" type="noConversion"/>
  </si>
  <si>
    <t>예상이론가</t>
  </si>
  <si>
    <t>8시 개장전:매도/매수호가는 현재가로 치환</t>
    <phoneticPr fontId="11" type="noConversion"/>
  </si>
  <si>
    <t xml:space="preserve">장중 호가( 예체가제외) </t>
    <phoneticPr fontId="11" type="noConversion"/>
  </si>
  <si>
    <t xml:space="preserve">환산가 ( 환율이론가를 사용해야 함 ) </t>
    <phoneticPr fontId="11" type="noConversion"/>
  </si>
  <si>
    <t>en</t>
    <phoneticPr fontId="11" type="noConversion"/>
  </si>
  <si>
    <t>ex</t>
    <phoneticPr fontId="11" type="noConversion"/>
  </si>
  <si>
    <t>기초자산이론가</t>
    <phoneticPr fontId="11" type="noConversion"/>
  </si>
  <si>
    <t xml:space="preserve">주선 예체가 수기입력 </t>
    <phoneticPr fontId="11" type="noConversion"/>
  </si>
  <si>
    <t>단가</t>
    <phoneticPr fontId="11" type="noConversion"/>
  </si>
  <si>
    <t>* 컴퓨터 시간기준</t>
    <phoneticPr fontId="11" type="noConversion"/>
  </si>
  <si>
    <t>9:00~15:20</t>
  </si>
  <si>
    <t>8:45~15:35</t>
  </si>
  <si>
    <t>* 선물의 현물환산 이론가 /없으면 선물</t>
    <phoneticPr fontId="11" type="noConversion"/>
  </si>
  <si>
    <t xml:space="preserve">8:45분 이전의 경우 선물이 없으므로, 이론가로 표현될듯 </t>
    <phoneticPr fontId="11" type="noConversion"/>
  </si>
  <si>
    <t>dbkim@ls-sec.co.kr</t>
    <phoneticPr fontId="11" type="noConversion"/>
  </si>
  <si>
    <t>KRX등락</t>
  </si>
  <si>
    <t>통합 현재가</t>
    <phoneticPr fontId="11" type="noConversion"/>
  </si>
  <si>
    <t>통합 이론가</t>
    <phoneticPr fontId="11" type="noConversion"/>
  </si>
  <si>
    <t>KRX전일종가</t>
  </si>
  <si>
    <t>KRX현재가</t>
    <phoneticPr fontId="11" type="noConversion"/>
  </si>
  <si>
    <t>환율은상대호가청산</t>
    <phoneticPr fontId="11" type="noConversion"/>
  </si>
  <si>
    <t>국내maker/해외taker</t>
    <phoneticPr fontId="11" type="noConversion"/>
  </si>
  <si>
    <t>슬리피지는 완전 상대호가 감안</t>
    <phoneticPr fontId="11" type="noConversion"/>
  </si>
  <si>
    <t>손익계산(6703)</t>
    <phoneticPr fontId="11" type="noConversion"/>
  </si>
  <si>
    <t>매매개시</t>
    <phoneticPr fontId="11" type="noConversion"/>
  </si>
  <si>
    <t>7/6</t>
    <phoneticPr fontId="11" type="noConversion"/>
  </si>
  <si>
    <t>LS현물CUR</t>
  </si>
  <si>
    <t xml:space="preserve">환율은 장중 근처 시간대에는 외환현물을 사용 ( 오후 4~6시는 선물 미존재) </t>
    <phoneticPr fontId="11" type="noConversion"/>
  </si>
  <si>
    <t>기준환율custom</t>
    <phoneticPr fontId="11" type="noConversion"/>
  </si>
  <si>
    <t xml:space="preserve">24시간 외환현물 , 개장전 현물 CUR 부재시, 하나은행고시 환율값으로 대체 </t>
    <phoneticPr fontId="11" type="noConversion"/>
  </si>
  <si>
    <t>SKHYUSDT</t>
    <phoneticPr fontId="11" type="noConversion"/>
  </si>
  <si>
    <t xml:space="preserve">바이낸스 </t>
    <phoneticPr fontId="11" type="noConversion"/>
  </si>
  <si>
    <t>오라클</t>
    <phoneticPr fontId="11" type="noConversion"/>
  </si>
  <si>
    <t xml:space="preserve">9시전에는 어제 종가로 보는듯 </t>
    <phoneticPr fontId="11" type="noConversion"/>
  </si>
  <si>
    <t>xyz:SKHY</t>
    <phoneticPr fontId="11" type="noConversion"/>
  </si>
  <si>
    <t xml:space="preserve">급락시에는 하이퍼매도 , 바이낸스 매수 </t>
    <phoneticPr fontId="11" type="noConversion"/>
  </si>
  <si>
    <t xml:space="preserve">KRX 현재가, 전일종가는 4초간격의 네이버 데이터 </t>
    <phoneticPr fontId="11" type="noConversion"/>
  </si>
  <si>
    <t xml:space="preserve">(전일 종가를 구하기 위한 데이터) </t>
    <phoneticPr fontId="11" type="noConversion"/>
  </si>
  <si>
    <t>ADRpr.HL</t>
    <phoneticPr fontId="11" type="noConversion"/>
  </si>
  <si>
    <t>매매모니터링 수치</t>
    <phoneticPr fontId="11" type="noConversion"/>
  </si>
  <si>
    <t>이론가율</t>
    <phoneticPr fontId="11" type="noConversion"/>
  </si>
  <si>
    <t xml:space="preserve">환헤지는 최초 진입수량기준으로 유지 </t>
    <phoneticPr fontId="11" type="noConversion"/>
  </si>
  <si>
    <t>LS담당자</t>
    <phoneticPr fontId="11" type="noConversion"/>
  </si>
  <si>
    <t xml:space="preserve">스프레드의 계산 </t>
    <phoneticPr fontId="11" type="noConversion"/>
  </si>
  <si>
    <t>주식</t>
    <phoneticPr fontId="11" type="noConversion"/>
  </si>
  <si>
    <t>10주</t>
    <phoneticPr fontId="11" type="noConversion"/>
  </si>
  <si>
    <t xml:space="preserve">(최소주문단위) </t>
    <phoneticPr fontId="11" type="noConversion"/>
  </si>
  <si>
    <t>선물</t>
    <phoneticPr fontId="11" type="noConversion"/>
  </si>
  <si>
    <t>1계약</t>
    <phoneticPr fontId="11" type="noConversion"/>
  </si>
  <si>
    <t>진입방향</t>
    <phoneticPr fontId="11" type="noConversion"/>
  </si>
  <si>
    <t>청산방향</t>
    <phoneticPr fontId="11" type="noConversion"/>
  </si>
  <si>
    <t>10계약</t>
    <phoneticPr fontId="11" type="noConversion"/>
  </si>
  <si>
    <t xml:space="preserve">국내매수( 주식선물, etf,주식) &amp; 하이퍼리퀴드 매도 </t>
    <phoneticPr fontId="11" type="noConversion"/>
  </si>
  <si>
    <t xml:space="preserve">국내매도( 주식선물, etf,주식) &amp; 하이퍼리퀴드 매수 </t>
    <phoneticPr fontId="11" type="noConversion"/>
  </si>
  <si>
    <t>스프레드 방향</t>
    <phoneticPr fontId="11" type="noConversion"/>
  </si>
  <si>
    <t xml:space="preserve">스프레드 주문 수량의 결정 </t>
    <phoneticPr fontId="11" type="noConversion"/>
  </si>
  <si>
    <t>주식선물</t>
    <phoneticPr fontId="11" type="noConversion"/>
  </si>
  <si>
    <t>공통사항</t>
    <phoneticPr fontId="11" type="noConversion"/>
  </si>
  <si>
    <t xml:space="preserve">최소주문수량 ( 스프레드 1set 시 주문수량임) </t>
    <phoneticPr fontId="11" type="noConversion"/>
  </si>
  <si>
    <t>방향</t>
    <phoneticPr fontId="11" type="noConversion"/>
  </si>
  <si>
    <t>매수</t>
    <phoneticPr fontId="11" type="noConversion"/>
  </si>
  <si>
    <t>계약수</t>
    <phoneticPr fontId="11" type="noConversion"/>
  </si>
  <si>
    <t>매도</t>
    <phoneticPr fontId="11" type="noConversion"/>
  </si>
  <si>
    <t xml:space="preserve">주문가격의 결정 </t>
    <phoneticPr fontId="11" type="noConversion"/>
  </si>
  <si>
    <t xml:space="preserve">2개로 구성 </t>
    <phoneticPr fontId="11" type="noConversion"/>
  </si>
  <si>
    <t xml:space="preserve">바로쏴화면 </t>
    <phoneticPr fontId="11" type="noConversion"/>
  </si>
  <si>
    <t>1회주문수량</t>
    <phoneticPr fontId="11" type="noConversion"/>
  </si>
  <si>
    <t>SK하이닉스</t>
    <phoneticPr fontId="11" type="noConversion"/>
  </si>
  <si>
    <t>버튼</t>
    <phoneticPr fontId="11" type="noConversion"/>
  </si>
  <si>
    <t xml:space="preserve">리스크방지 </t>
    <phoneticPr fontId="11" type="noConversion"/>
  </si>
  <si>
    <t>딜레이</t>
    <phoneticPr fontId="11" type="noConversion"/>
  </si>
  <si>
    <t>딜레이(ms)</t>
    <phoneticPr fontId="11" type="noConversion"/>
  </si>
  <si>
    <t xml:space="preserve">주문 나가고 딜레이 이후 다음주문 발생 </t>
    <phoneticPr fontId="11" type="noConversion"/>
  </si>
  <si>
    <t>사용자 알람</t>
    <phoneticPr fontId="11" type="noConversion"/>
  </si>
  <si>
    <t>평단/수량</t>
    <phoneticPr fontId="11" type="noConversion"/>
  </si>
  <si>
    <t>usd/S,SF</t>
    <phoneticPr fontId="11" type="noConversion"/>
  </si>
  <si>
    <t>SK</t>
    <phoneticPr fontId="11" type="noConversion"/>
  </si>
  <si>
    <t>무포시간</t>
    <phoneticPr fontId="11" type="noConversion"/>
  </si>
  <si>
    <t>현대차</t>
  </si>
  <si>
    <t>현대차 선물</t>
  </si>
  <si>
    <t>005380F</t>
  </si>
  <si>
    <t>005380</t>
  </si>
  <si>
    <t xml:space="preserve">하이닉스 </t>
  </si>
  <si>
    <t>SF</t>
  </si>
  <si>
    <t>주식선물</t>
  </si>
  <si>
    <t xml:space="preserve">하이퍼하이닉스 조옥 </t>
  </si>
  <si>
    <t>*</t>
  </si>
  <si>
    <t xml:space="preserve">잔고및 체결 보는 화면 </t>
  </si>
  <si>
    <t xml:space="preserve">당일 시스템을 통해서 나간 주문의 합산 평균가 </t>
  </si>
  <si>
    <t xml:space="preserve">종목명 </t>
  </si>
  <si>
    <t>보유수량</t>
  </si>
  <si>
    <t xml:space="preserve">평균단가 </t>
  </si>
  <si>
    <t>평가금액</t>
  </si>
  <si>
    <t>평가손익</t>
  </si>
  <si>
    <t>당일매수</t>
  </si>
  <si>
    <t>매수단가</t>
  </si>
  <si>
    <t>매수금액</t>
  </si>
  <si>
    <t>당일매도</t>
  </si>
  <si>
    <t>매도단가</t>
  </si>
  <si>
    <t>매도금액</t>
  </si>
  <si>
    <t>환선물</t>
  </si>
  <si>
    <t>계약수입력</t>
  </si>
  <si>
    <t>계약수입력후 est pr 로 계산되는 스프레드산출</t>
  </si>
  <si>
    <t>en</t>
  </si>
  <si>
    <t>ex</t>
  </si>
  <si>
    <t xml:space="preserve">진입방향 </t>
  </si>
  <si>
    <t>SF 매수, HL 매도</t>
  </si>
  <si>
    <t>청산방향</t>
  </si>
  <si>
    <t>SF 매도, HL 매수</t>
  </si>
  <si>
    <t>동시주문</t>
  </si>
  <si>
    <t xml:space="preserve">그냥 누르면 원하는 가격을 동시 주문 발생 </t>
  </si>
  <si>
    <t>SF계약수</t>
  </si>
  <si>
    <t>HL계약수</t>
  </si>
  <si>
    <t>버튼</t>
  </si>
  <si>
    <t>** SF 매수/ HL 매도</t>
  </si>
  <si>
    <t>날짜별로 조회</t>
  </si>
  <si>
    <t xml:space="preserve">모든 거래내역과 손익의 계산은 일일 체결 합산 방식으로 한다 ( 시간대별로 분리는 하지 않는다) </t>
  </si>
  <si>
    <t>당일</t>
  </si>
  <si>
    <t>기간별</t>
  </si>
  <si>
    <t>2026.1.1</t>
  </si>
  <si>
    <t>~</t>
  </si>
  <si>
    <t>2026.5.5</t>
  </si>
  <si>
    <t>LS증권</t>
  </si>
  <si>
    <t>주식</t>
  </si>
  <si>
    <t xml:space="preserve">종목명으로 구분하여 따로 계산 ( 최근월물, 차근월물 존재) </t>
  </si>
  <si>
    <t xml:space="preserve">최근차근이 구별하기 복잡하면.. 합산 처리도 가능함 </t>
  </si>
  <si>
    <t>ETF</t>
  </si>
  <si>
    <t xml:space="preserve">위종목의 당일 혹은 기간별 체결 계약수, 체결명목 금액을 구한다 </t>
  </si>
  <si>
    <t xml:space="preserve">수수료는 수수료율을 쓰지말고, 증권사에서 수수료내역 나와있는 화면을 활용 </t>
  </si>
  <si>
    <t xml:space="preserve">예&gt; </t>
  </si>
  <si>
    <t>매도체결수량</t>
  </si>
  <si>
    <t xml:space="preserve">매도체결가격 </t>
  </si>
  <si>
    <t xml:space="preserve">매도체결(명목) 금액 </t>
  </si>
  <si>
    <t>수수료</t>
  </si>
  <si>
    <t>매수체결수량</t>
  </si>
  <si>
    <t xml:space="preserve">매수체결가격 </t>
  </si>
  <si>
    <t xml:space="preserve">매수체결(명목) 금액 </t>
  </si>
  <si>
    <t>합산</t>
  </si>
  <si>
    <t xml:space="preserve">위는 계산 방식이고 조회화면은 아래 처럼 구함 ( 당일 혹은 기간별) , 명목금액으로 하면 승수가 자동 감안된다 </t>
  </si>
  <si>
    <t>매도 수량</t>
  </si>
  <si>
    <t>매도금액(E)</t>
  </si>
  <si>
    <t>평균단가</t>
  </si>
  <si>
    <t>매수수량</t>
  </si>
  <si>
    <t>매수금액(F)</t>
  </si>
  <si>
    <t>청산수량(G)</t>
  </si>
  <si>
    <t>단가(H)</t>
  </si>
  <si>
    <t>청산손익</t>
  </si>
  <si>
    <t>A</t>
  </si>
  <si>
    <t>B</t>
  </si>
  <si>
    <t>B/A</t>
  </si>
  <si>
    <t>C</t>
  </si>
  <si>
    <t>D</t>
  </si>
  <si>
    <t>D/C</t>
  </si>
  <si>
    <t>min(A-C)</t>
  </si>
  <si>
    <t>B-D</t>
  </si>
  <si>
    <t xml:space="preserve">하이퍼하이닉스 </t>
  </si>
  <si>
    <t>(만원)</t>
  </si>
  <si>
    <t>S</t>
  </si>
  <si>
    <t>oracle</t>
  </si>
  <si>
    <t>환산</t>
  </si>
  <si>
    <t>fund</t>
  </si>
  <si>
    <t>틱밸류</t>
    <phoneticPr fontId="11" type="noConversion"/>
  </si>
  <si>
    <t xml:space="preserve">최차스프레드 </t>
    <phoneticPr fontId="11" type="noConversion"/>
  </si>
  <si>
    <t>원달러선물</t>
    <phoneticPr fontId="11" type="noConversion"/>
  </si>
  <si>
    <t xml:space="preserve">삼성전자 </t>
    <phoneticPr fontId="11" type="noConversion"/>
  </si>
  <si>
    <t xml:space="preserve">sk하이닉스 </t>
    <phoneticPr fontId="11" type="noConversion"/>
  </si>
  <si>
    <t xml:space="preserve">현대차 </t>
    <phoneticPr fontId="11" type="noConversion"/>
  </si>
  <si>
    <t>현재가(최근)</t>
    <phoneticPr fontId="11" type="noConversion"/>
  </si>
  <si>
    <t>매도호가(차근)</t>
    <phoneticPr fontId="11" type="noConversion"/>
  </si>
  <si>
    <t xml:space="preserve">매수호가(차근) </t>
    <phoneticPr fontId="11" type="noConversion"/>
  </si>
  <si>
    <t>MID (차근)</t>
    <phoneticPr fontId="11" type="noConversion"/>
  </si>
  <si>
    <t xml:space="preserve">편의상 en/ex로 했으나 잔고를 보고 매매하는게 아니므로,ex부터 수행 가능 </t>
    <phoneticPr fontId="11" type="noConversion"/>
  </si>
  <si>
    <t>국내(tick)</t>
    <phoneticPr fontId="11" type="noConversion"/>
  </si>
  <si>
    <t>1st</t>
    <phoneticPr fontId="11" type="noConversion"/>
  </si>
  <si>
    <t>2nd</t>
    <phoneticPr fontId="11" type="noConversion"/>
  </si>
  <si>
    <t>3rd</t>
    <phoneticPr fontId="11" type="noConversion"/>
  </si>
  <si>
    <t xml:space="preserve">## 8시 국내 프리장 첫시세부터 매매가 바로 가능해야함 </t>
    <phoneticPr fontId="11" type="noConversion"/>
  </si>
  <si>
    <t xml:space="preserve">## 주문 가격은 설정창 안으로 넣어주면 더 땡큐 </t>
    <phoneticPr fontId="11" type="noConversion"/>
  </si>
  <si>
    <t>체결쏴화면</t>
    <phoneticPr fontId="11" type="noConversion"/>
  </si>
  <si>
    <t>실행</t>
    <phoneticPr fontId="11" type="noConversion"/>
  </si>
  <si>
    <t>선주문진입범위</t>
    <phoneticPr fontId="11" type="noConversion"/>
  </si>
  <si>
    <t xml:space="preserve">포지션이 한쪽만 잡히거나 수량이 맞지 않을경우, 에러메시지를 사용자에게 전달해주며, 확인창 등….. 실행버튼이 꺼진다 !!!!!! </t>
    <phoneticPr fontId="11" type="noConversion"/>
  </si>
  <si>
    <t xml:space="preserve">바로쏴, 체결쏴 동일 사항. </t>
    <phoneticPr fontId="11" type="noConversion"/>
  </si>
  <si>
    <t>보유최대수량</t>
    <phoneticPr fontId="11" type="noConversion"/>
  </si>
  <si>
    <t>바로쏴화면</t>
    <phoneticPr fontId="11" type="noConversion"/>
  </si>
  <si>
    <t>화면명</t>
    <phoneticPr fontId="11" type="noConversion"/>
  </si>
  <si>
    <t>주문화면</t>
    <phoneticPr fontId="11" type="noConversion"/>
  </si>
  <si>
    <t>주선&amp;하이퍼리퀴드</t>
    <phoneticPr fontId="11" type="noConversion"/>
  </si>
  <si>
    <t xml:space="preserve">entry /exit 진입청산 항목수는 3개면 충분 </t>
    <phoneticPr fontId="11" type="noConversion"/>
  </si>
  <si>
    <t>S제외여부</t>
    <phoneticPr fontId="11" type="noConversion"/>
  </si>
  <si>
    <t xml:space="preserve">1회주문후 </t>
    <phoneticPr fontId="11" type="noConversion"/>
  </si>
  <si>
    <t xml:space="preserve">다음주문 실시 </t>
    <phoneticPr fontId="11" type="noConversion"/>
  </si>
  <si>
    <t xml:space="preserve">체결완료시 : </t>
    <phoneticPr fontId="11" type="noConversion"/>
  </si>
  <si>
    <t xml:space="preserve">미체결 혹은 일부 체결시 : </t>
    <phoneticPr fontId="11" type="noConversion"/>
  </si>
  <si>
    <t xml:space="preserve">수동주문화면 </t>
    <phoneticPr fontId="11" type="noConversion"/>
  </si>
  <si>
    <t xml:space="preserve">달인 일반 주문화면 처럼 만들어 주면 됨 </t>
    <phoneticPr fontId="11" type="noConversion"/>
  </si>
  <si>
    <t xml:space="preserve">호가 머지기능만추가 </t>
    <phoneticPr fontId="11" type="noConversion"/>
  </si>
  <si>
    <t xml:space="preserve">자동 주문화면 </t>
    <phoneticPr fontId="11" type="noConversion"/>
  </si>
  <si>
    <t>*S제외시는 계산을 못하니 계산안하면됨</t>
    <phoneticPr fontId="11" type="noConversion"/>
  </si>
  <si>
    <t xml:space="preserve">1회주문수량 </t>
    <phoneticPr fontId="11" type="noConversion"/>
  </si>
  <si>
    <t xml:space="preserve">주식선물만 세팅되며, 진입의 경우 세팅 스프레드보다 큰 호가중 가장 낮은값에 주문 </t>
    <phoneticPr fontId="11" type="noConversion"/>
  </si>
  <si>
    <t xml:space="preserve">주식선물만 세팅되며, 청산의 경우 세팅 스프레드보다 작은 호가중 가장 높은값에 주문 </t>
    <phoneticPr fontId="11" type="noConversion"/>
  </si>
  <si>
    <t xml:space="preserve">1회주문내는 수량 : 주식선물이므로 1: 10     </t>
    <phoneticPr fontId="11" type="noConversion"/>
  </si>
  <si>
    <t>HP-SF 주문만</t>
  </si>
  <si>
    <t>-HP / +SF</t>
  </si>
  <si>
    <t>+HP / -SF</t>
  </si>
  <si>
    <t>HP-SF</t>
  </si>
  <si>
    <t>HP-S</t>
  </si>
  <si>
    <t xml:space="preserve">주문계약수의 선정 </t>
    <phoneticPr fontId="11" type="noConversion"/>
  </si>
  <si>
    <t xml:space="preserve">주문은 금액이 아닌 수량비율로한다. 수량 기준은 주식기준 ! 주식선물이 아님 ) </t>
    <phoneticPr fontId="11" type="noConversion"/>
  </si>
  <si>
    <t>주식선물의 역방향 매매는 ex 먼저 수행후 en 수행하면 됨.  (ex : 주식선물매도&amp; HP 매수 ,en : 주식선물매수 &amp; HP 매도 )</t>
    <phoneticPr fontId="11" type="noConversion"/>
  </si>
  <si>
    <t>HP</t>
  </si>
  <si>
    <t>en : HP 매도이므로, 매수호가 방향으로 est-pr 산정</t>
  </si>
  <si>
    <t>ex : HP 매수이므로, 매도호가방향으로 est-pr 산정</t>
  </si>
  <si>
    <t>HP(%)</t>
  </si>
  <si>
    <t>en ex으로 주문의 방향을 선정</t>
    <phoneticPr fontId="11" type="noConversion"/>
  </si>
  <si>
    <t>HP</t>
    <phoneticPr fontId="11" type="noConversion"/>
  </si>
  <si>
    <t>S,SF</t>
    <phoneticPr fontId="11" type="noConversion"/>
  </si>
  <si>
    <t xml:space="preserve">잔량비율을 사용함. 주문내는 상대 1호가가격의 잔량 비율조건 맞을시 주문 발생 </t>
    <phoneticPr fontId="11" type="noConversion"/>
  </si>
  <si>
    <t xml:space="preserve">주문가능 시간 </t>
    <phoneticPr fontId="11" type="noConversion"/>
  </si>
  <si>
    <t xml:space="preserve">페어 주문 내기직전 반드시 먼저 주문가능 금액, 청산가능 수량을 확인한다. ( 아래 화면에서 설명 ) </t>
    <phoneticPr fontId="11" type="noConversion"/>
  </si>
  <si>
    <t xml:space="preserve">HP-S 주문 </t>
    <phoneticPr fontId="11" type="noConversion"/>
  </si>
  <si>
    <t xml:space="preserve">HP-SF 주문 </t>
    <phoneticPr fontId="11" type="noConversion"/>
  </si>
  <si>
    <t>HP-S</t>
    <phoneticPr fontId="11" type="noConversion"/>
  </si>
  <si>
    <t xml:space="preserve">** estpr +1% </t>
    <phoneticPr fontId="11" type="noConversion"/>
  </si>
  <si>
    <t xml:space="preserve">** estpr  -1% </t>
    <phoneticPr fontId="11" type="noConversion"/>
  </si>
  <si>
    <t xml:space="preserve">estpr : 국내는 호가 잔량비를 계산하여 주문을 수행한다 </t>
    <phoneticPr fontId="11" type="noConversion"/>
  </si>
  <si>
    <t xml:space="preserve">***** 김프에서 잔량비 쓰는 구조랑 동일하게 적용 ( 진입 청산모두 … ) </t>
    <phoneticPr fontId="11" type="noConversion"/>
  </si>
  <si>
    <t>S제외체크는 하이퍼만 진입하고 국내주식을 진입하지말라는 의미이며, S제외시 하이퍼의 매수도가능함)</t>
    <phoneticPr fontId="11" type="noConversion"/>
  </si>
  <si>
    <t>보유최대수량 : 한쪽 방향으로의 최대 진입수량한도 absvalue 임</t>
    <phoneticPr fontId="11" type="noConversion"/>
  </si>
  <si>
    <t xml:space="preserve">각 거래소의 미체결 혹은 일부 체결 여부 확인(딜레이 타임 없음, 대신 체결 완료 확인후 다음주문 발생) </t>
    <phoneticPr fontId="11" type="noConversion"/>
  </si>
  <si>
    <t xml:space="preserve">시스템 멈추고 사용자 알람.  ( 재주문이나 추가 주문은 하지 않음,사용자가 수동으로 알아서 주문 수행 ) </t>
    <phoneticPr fontId="11" type="noConversion"/>
  </si>
  <si>
    <t xml:space="preserve">초기화 버튼으로 수량 ~ en/ex sprd 내용 초기화함 </t>
    <phoneticPr fontId="11" type="noConversion"/>
  </si>
  <si>
    <t xml:space="preserve">화면 저장시 다시 주문화면 띄울때 다시 불러옴 </t>
    <phoneticPr fontId="11" type="noConversion"/>
  </si>
  <si>
    <t xml:space="preserve">주식선물만 해당되는 화면임 </t>
    <phoneticPr fontId="11" type="noConversion"/>
  </si>
  <si>
    <t>정방향(en)</t>
    <phoneticPr fontId="11" type="noConversion"/>
  </si>
  <si>
    <t>역방향(ex)</t>
    <phoneticPr fontId="11" type="noConversion"/>
  </si>
  <si>
    <t xml:space="preserve">선주문제시호가단위 </t>
    <phoneticPr fontId="11" type="noConversion"/>
  </si>
  <si>
    <t>Sk하이닉스</t>
    <phoneticPr fontId="11" type="noConversion"/>
  </si>
  <si>
    <t>현대차</t>
    <phoneticPr fontId="11" type="noConversion"/>
  </si>
  <si>
    <t>주문가수식</t>
    <phoneticPr fontId="11" type="noConversion"/>
  </si>
  <si>
    <t xml:space="preserve">선주문 제시호가 / 선주문 진입범위로 주문 횟수를 줄임 </t>
    <phoneticPr fontId="11" type="noConversion"/>
  </si>
  <si>
    <t xml:space="preserve">딜레이 : </t>
    <phoneticPr fontId="11" type="noConversion"/>
  </si>
  <si>
    <t xml:space="preserve">상대호가스프레드 가격 사용 </t>
    <phoneticPr fontId="11" type="noConversion"/>
  </si>
  <si>
    <t>선주문만 자기호가가격 스프레드사용</t>
    <phoneticPr fontId="11" type="noConversion"/>
  </si>
  <si>
    <t>스프레드 가격의 산출</t>
    <phoneticPr fontId="11" type="noConversion"/>
  </si>
  <si>
    <t xml:space="preserve">화면 현재사이즈보다 120% 크기 </t>
    <phoneticPr fontId="11" type="noConversion"/>
  </si>
  <si>
    <t>바로쏴</t>
    <phoneticPr fontId="11" type="noConversion"/>
  </si>
  <si>
    <t>SF이론</t>
    <phoneticPr fontId="11" type="noConversion"/>
  </si>
  <si>
    <t>HL 매수호가estpr  - S매도호가</t>
    <phoneticPr fontId="11" type="noConversion"/>
  </si>
  <si>
    <t>HL 매도호가estpr  - S매수호가</t>
    <phoneticPr fontId="11" type="noConversion"/>
  </si>
  <si>
    <t xml:space="preserve">SF현재가이론가대비 ( 모니터링 화면용) </t>
    <phoneticPr fontId="11" type="noConversion"/>
  </si>
  <si>
    <t>체결쏴</t>
    <phoneticPr fontId="11" type="noConversion"/>
  </si>
  <si>
    <t>HL 매수호가estpr  - SF매수호가이론가대비</t>
    <phoneticPr fontId="11" type="noConversion"/>
  </si>
  <si>
    <t>HL 매도호가estpr  - SF매도호가이론가대비</t>
    <phoneticPr fontId="11" type="noConversion"/>
  </si>
  <si>
    <t>SF-S</t>
    <phoneticPr fontId="11" type="noConversion"/>
  </si>
  <si>
    <t>HL-S</t>
    <phoneticPr fontId="11" type="noConversion"/>
  </si>
  <si>
    <t>역박향(ex)</t>
    <phoneticPr fontId="11" type="noConversion"/>
  </si>
  <si>
    <t>absvalue(보유량)</t>
    <phoneticPr fontId="11" type="noConversion"/>
  </si>
  <si>
    <t>금액</t>
    <phoneticPr fontId="11" type="noConversion"/>
  </si>
  <si>
    <t>일거래한도(백만, HP기준)</t>
    <phoneticPr fontId="11" type="noConversion"/>
  </si>
  <si>
    <t>상대.평가손(천)</t>
    <phoneticPr fontId="11" type="noConversion"/>
  </si>
  <si>
    <t>-HP / +S(EN)</t>
    <phoneticPr fontId="11" type="noConversion"/>
  </si>
  <si>
    <t>+HP / -S(EN)</t>
    <phoneticPr fontId="11" type="noConversion"/>
  </si>
  <si>
    <t>정방향</t>
    <phoneticPr fontId="11" type="noConversion"/>
  </si>
  <si>
    <t>역방향</t>
    <phoneticPr fontId="11" type="noConversion"/>
  </si>
  <si>
    <t>-HP</t>
    <phoneticPr fontId="11" type="noConversion"/>
  </si>
  <si>
    <t>+S</t>
    <phoneticPr fontId="11" type="noConversion"/>
  </si>
  <si>
    <t>시크릿키</t>
    <phoneticPr fontId="11" type="noConversion"/>
  </si>
  <si>
    <t>PSD9B63g7inEgSNHqPTtRBgRqrGT0QDSZT5S</t>
    <phoneticPr fontId="11" type="noConversion"/>
  </si>
  <si>
    <t>FYCHcM4DbetyGlKId91u6IpkOeX7E7hs</t>
    <phoneticPr fontId="11" type="noConversion"/>
  </si>
  <si>
    <t>주식&amp;하이퍼리퀴드</t>
    <phoneticPr fontId="11" type="noConversion"/>
  </si>
  <si>
    <t xml:space="preserve">진입,청산 스프레드의 계산은 상대호가로 한다. </t>
    <phoneticPr fontId="11" type="noConversion"/>
  </si>
  <si>
    <t>진입한도</t>
    <phoneticPr fontId="11" type="noConversion"/>
  </si>
  <si>
    <t>설정</t>
    <phoneticPr fontId="11" type="noConversion"/>
  </si>
  <si>
    <t>역방향(RVS)</t>
    <phoneticPr fontId="11" type="noConversion"/>
  </si>
  <si>
    <t>정방향(FWD)</t>
    <phoneticPr fontId="11" type="noConversion"/>
  </si>
  <si>
    <t>+HP/-S(EX)</t>
    <phoneticPr fontId="11" type="noConversion"/>
  </si>
  <si>
    <t>-HP/+S(EN)</t>
    <phoneticPr fontId="11" type="noConversion"/>
  </si>
  <si>
    <t>진입옵션 : 현금/신용</t>
    <phoneticPr fontId="11" type="noConversion"/>
  </si>
  <si>
    <t>신용융자/대주상환</t>
    <phoneticPr fontId="11" type="noConversion"/>
  </si>
  <si>
    <t>청산옵션 :</t>
    <phoneticPr fontId="11" type="noConversion"/>
  </si>
  <si>
    <t>현금/신용</t>
    <phoneticPr fontId="11" type="noConversion"/>
  </si>
  <si>
    <t>자기융자상환/대주매도</t>
    <phoneticPr fontId="11" type="noConversion"/>
  </si>
  <si>
    <t>RT선진입</t>
    <phoneticPr fontId="11" type="noConversion"/>
  </si>
  <si>
    <t>목표수량</t>
    <phoneticPr fontId="11" type="noConversion"/>
  </si>
  <si>
    <t>+HP/-S(EN)</t>
    <phoneticPr fontId="11" type="noConversion"/>
  </si>
  <si>
    <t>체결차</t>
    <phoneticPr fontId="11" type="noConversion"/>
  </si>
  <si>
    <t>진입</t>
    <phoneticPr fontId="11" type="noConversion"/>
  </si>
  <si>
    <t>-환</t>
  </si>
  <si>
    <t>-환</t>
    <phoneticPr fontId="11" type="noConversion"/>
  </si>
  <si>
    <t>+환</t>
  </si>
  <si>
    <t>+환</t>
    <phoneticPr fontId="11" type="noConversion"/>
  </si>
  <si>
    <t>-HP</t>
  </si>
  <si>
    <t>+S</t>
  </si>
  <si>
    <t>+HP</t>
    <phoneticPr fontId="11" type="noConversion"/>
  </si>
  <si>
    <t>-S</t>
  </si>
  <si>
    <t>-S</t>
    <phoneticPr fontId="11" type="noConversion"/>
  </si>
  <si>
    <t>청산</t>
    <phoneticPr fontId="11" type="noConversion"/>
  </si>
  <si>
    <t>클리어</t>
    <phoneticPr fontId="11" type="noConversion"/>
  </si>
  <si>
    <t xml:space="preserve">환율은 매매시의 상대호가가격의 환선물 가격을 매매했다고 가정 </t>
    <phoneticPr fontId="11" type="noConversion"/>
  </si>
  <si>
    <t>환미거래시간에는 직전 종가를 사용하면됨</t>
    <phoneticPr fontId="11" type="noConversion"/>
  </si>
  <si>
    <t>-HP/+S(EX)</t>
    <phoneticPr fontId="11" type="noConversion"/>
  </si>
  <si>
    <t xml:space="preserve">정방향은 진입 잔고최저치는 0 이하일수 없고, 역방향은 잔고최고치가 0 이상일수없다 </t>
    <phoneticPr fontId="11" type="noConversion"/>
  </si>
  <si>
    <t xml:space="preserve">( 국내 주식기준) </t>
    <phoneticPr fontId="11" type="noConversion"/>
  </si>
  <si>
    <t xml:space="preserve">         </t>
    <phoneticPr fontId="11" type="noConversion"/>
  </si>
  <si>
    <t xml:space="preserve">진입조건  : min ( 주문가능수량, 1회 주문수량) </t>
    <phoneticPr fontId="11" type="noConversion"/>
  </si>
  <si>
    <t xml:space="preserve">청산조건  : min (청산가능수량,1회주문수량) </t>
    <phoneticPr fontId="11" type="noConversion"/>
  </si>
  <si>
    <t>주문가능시간</t>
    <phoneticPr fontId="11" type="noConversion"/>
  </si>
  <si>
    <t>(초단위)</t>
    <phoneticPr fontId="11" type="noConversion"/>
  </si>
  <si>
    <t xml:space="preserve">RT 선진입 : 역방향이더라도 RT선진입은 + 표기 </t>
    <phoneticPr fontId="11" type="noConversion"/>
  </si>
  <si>
    <t xml:space="preserve">* 달인과같은방식 : 주문 체결혹은 취소완료후 딜레이후 </t>
    <phoneticPr fontId="11" type="noConversion"/>
  </si>
  <si>
    <t xml:space="preserve">   다음 주문 프로세스 </t>
    <phoneticPr fontId="11" type="noConversion"/>
  </si>
  <si>
    <t>-HP/+SF(EN)</t>
  </si>
  <si>
    <t>-HP/+SF(EN)</t>
    <phoneticPr fontId="11" type="noConversion"/>
  </si>
  <si>
    <t>+HP/-SF(EX)</t>
    <phoneticPr fontId="11" type="noConversion"/>
  </si>
  <si>
    <t>+SF</t>
    <phoneticPr fontId="11" type="noConversion"/>
  </si>
  <si>
    <t>-SF</t>
    <phoneticPr fontId="11" type="noConversion"/>
  </si>
  <si>
    <t>스프레드</t>
    <phoneticPr fontId="11" type="noConversion"/>
  </si>
  <si>
    <t>+HP/-SF(EN)</t>
    <phoneticPr fontId="11" type="noConversion"/>
  </si>
  <si>
    <t>주식선물만 매매</t>
    <phoneticPr fontId="11" type="noConversion"/>
  </si>
  <si>
    <t xml:space="preserve">(주식선물이 주문 기준 수량 : 1계약 세팅시 , HP 10 계약 대응하여 매매 ) </t>
    <phoneticPr fontId="11" type="noConversion"/>
  </si>
  <si>
    <t xml:space="preserve">정방향 역방향 주문 모두 각각 1단계부터 3단계 순서로 주문을 수행하며, 취소는 각자 순서없이 바로. </t>
    <phoneticPr fontId="11" type="noConversion"/>
  </si>
  <si>
    <t xml:space="preserve">각각 포지션 한도 넘어설시,(최소 주문 계약수로 인해 살짝 넘을수 있음) 추가 진입없이 청산만 가능해짐,. 청산으로 추가 진입 늘 경우 추가 진입 가능함 </t>
    <phoneticPr fontId="11" type="noConversion"/>
  </si>
  <si>
    <t xml:space="preserve">선주문의 체결 : 최소주문 3계약세팅후 1계약 체결시 후주문 10 계약 발생. ( 체결차가 발생하지 않는 구조임 ) </t>
    <phoneticPr fontId="11" type="noConversion"/>
  </si>
  <si>
    <t>후주문</t>
    <phoneticPr fontId="11" type="noConversion"/>
  </si>
  <si>
    <t>선주문</t>
    <phoneticPr fontId="11" type="noConversion"/>
  </si>
  <si>
    <t>주문</t>
    <phoneticPr fontId="11" type="noConversion"/>
  </si>
  <si>
    <t xml:space="preserve">주문발생 로직 </t>
    <phoneticPr fontId="11" type="noConversion"/>
  </si>
  <si>
    <t xml:space="preserve">전량취소시 딜레이 타임이후 주문 발생 </t>
    <phoneticPr fontId="11" type="noConversion"/>
  </si>
  <si>
    <t>전량체결시 딜레이 타임이후 주문 발생</t>
    <phoneticPr fontId="11" type="noConversion"/>
  </si>
  <si>
    <t xml:space="preserve"> ( 딜레이 타임은 각 화면 당 딜레이 타임으로 혹은 전체 주문 당 딜레이 타임으로 설정 (논의 필요) </t>
    <phoneticPr fontId="11" type="noConversion"/>
  </si>
  <si>
    <t xml:space="preserve">체결 확인완료후 다음선주문 발생 ( 혹시 일부 미체결시 잔량이 다음 프로세스로 넘어 가지 않음 ) </t>
    <phoneticPr fontId="11" type="noConversion"/>
  </si>
  <si>
    <t>매매하려는 스프레드는 정방향(FWD) 의 경우 높을때 진입 역방향(RVS)의 경우 낮을때 청산함</t>
    <phoneticPr fontId="11" type="noConversion"/>
  </si>
  <si>
    <t xml:space="preserve">모니터링 및 주문 스프레드는 선주문은 자기1호가 / 후주문은 estpr 로 산정 </t>
    <phoneticPr fontId="11" type="noConversion"/>
  </si>
  <si>
    <t xml:space="preserve">모든 자동주문은 자동 주문의 체결 내역으로만 판단 . ( 내가 수동으로 처리한 주문은 '진입한도수량',회전율,딜레이, 일거래한도 등에 적용 받지 않는다 ) </t>
    <phoneticPr fontId="11" type="noConversion"/>
  </si>
  <si>
    <t>일거래한도(백만)</t>
    <phoneticPr fontId="11" type="noConversion"/>
  </si>
  <si>
    <t xml:space="preserve">일거래한도(백만) </t>
    <phoneticPr fontId="11" type="noConversion"/>
  </si>
  <si>
    <t>수치가 0 이하일시 경고창 띄워줌</t>
    <phoneticPr fontId="11" type="noConversion"/>
  </si>
  <si>
    <t xml:space="preserve">수치가 0.5% 이상일시 경고창 띄워줌 </t>
    <phoneticPr fontId="11" type="noConversion"/>
  </si>
  <si>
    <t xml:space="preserve">정방향진입의경우 ( 역방향청산 포함 ) </t>
    <phoneticPr fontId="11" type="noConversion"/>
  </si>
  <si>
    <t xml:space="preserve">역방향진입의경우 (정방향청산 포함) </t>
    <phoneticPr fontId="11" type="noConversion"/>
  </si>
  <si>
    <t xml:space="preserve">SF 주문가능 범위  = 매수호가+1호가 ~매수1호가*(1+선주문진입범위) </t>
    <phoneticPr fontId="11" type="noConversion"/>
  </si>
  <si>
    <t xml:space="preserve">SF 주문가능 범위 = 매도호가-1호가 ~ 매도1호가*(1-선주문진입범위) </t>
    <phoneticPr fontId="11" type="noConversion"/>
  </si>
  <si>
    <t xml:space="preserve">입력 오류방지 :  진입 </t>
    <phoneticPr fontId="11" type="noConversion"/>
  </si>
  <si>
    <t xml:space="preserve">각각 수치 입력시 정방향 진입 &gt; 정방향 청산 +0.10% 이여야함 아니면 입력 불가 </t>
    <phoneticPr fontId="11" type="noConversion"/>
  </si>
  <si>
    <t xml:space="preserve">각각 수치 입력시 정방향 진입 &lt; 정방향 청산 -0.10% 이여야함 아니면 입력 불가 </t>
    <phoneticPr fontId="11" type="noConversion"/>
  </si>
  <si>
    <t xml:space="preserve">확인창 띄워줌 </t>
    <phoneticPr fontId="11" type="noConversion"/>
  </si>
  <si>
    <t xml:space="preserve">사운드 발생 </t>
    <phoneticPr fontId="11" type="noConversion"/>
  </si>
  <si>
    <t xml:space="preserve">1. 주문 체결시 </t>
    <phoneticPr fontId="11" type="noConversion"/>
  </si>
  <si>
    <t xml:space="preserve">2. 에러 발생시 </t>
    <phoneticPr fontId="11" type="noConversion"/>
  </si>
  <si>
    <t xml:space="preserve">3. 시장 접속 끊길시 </t>
    <phoneticPr fontId="11" type="noConversion"/>
  </si>
  <si>
    <t xml:space="preserve">각각 다른 사운드로 세팅 </t>
    <phoneticPr fontId="11" type="noConversion"/>
  </si>
  <si>
    <t xml:space="preserve">각 거래소 연결을 1분단위로 감시하고 끊길때 ( 동시호가를 자꾸 끊긴걸로 오인 …... ) 사용자 알람 및 확인창 띄워주면서 하면서 모든 주문창 세팅 해제  </t>
    <phoneticPr fontId="11" type="noConversion"/>
  </si>
  <si>
    <t xml:space="preserve">하이퍼 리퀴드 수동 주문 화면 </t>
    <phoneticPr fontId="11" type="noConversion"/>
  </si>
  <si>
    <t xml:space="preserve">화면에 반드시 필요한 항목 </t>
    <phoneticPr fontId="11" type="noConversion"/>
  </si>
  <si>
    <t xml:space="preserve">포지션수량: 매수면 + ,매도면 -  ( 항목명 : 수량 ) </t>
    <phoneticPr fontId="11" type="noConversion"/>
  </si>
  <si>
    <t xml:space="preserve">진입금액 : position value </t>
    <phoneticPr fontId="11" type="noConversion"/>
  </si>
  <si>
    <t xml:space="preserve">진입가 :entry price ( 소수점 2자리까지) </t>
    <phoneticPr fontId="11" type="noConversion"/>
  </si>
  <si>
    <t>pnl : 손익</t>
    <phoneticPr fontId="11" type="noConversion"/>
  </si>
  <si>
    <t xml:space="preserve">liq.pr : 반대매매. </t>
    <phoneticPr fontId="11" type="noConversion"/>
  </si>
  <si>
    <t xml:space="preserve">cross/pm으로 주문낼거고, 레버리지(5x), reduce only 는 선택해서 매매 할수 있게 부탁. </t>
    <phoneticPr fontId="11" type="noConversion"/>
  </si>
  <si>
    <t xml:space="preserve">margin : 증거금 </t>
    <phoneticPr fontId="11" type="noConversion"/>
  </si>
  <si>
    <t xml:space="preserve">funding / countdown :  펀딩 및 잔여시간 </t>
    <phoneticPr fontId="11" type="noConversion"/>
  </si>
  <si>
    <t xml:space="preserve">oracle </t>
    <phoneticPr fontId="11" type="noConversion"/>
  </si>
  <si>
    <t xml:space="preserve">funding : 보유포지션의 누적펀딩 수익 </t>
    <phoneticPr fontId="11" type="noConversion"/>
  </si>
  <si>
    <t xml:space="preserve">리스크 방지 기능 (설정) :  상대호가 방향으로 현재가*(1+x%)  이상 매수,현재가*(1-x%) 미만 주문 불가. </t>
    <phoneticPr fontId="11" type="noConversion"/>
  </si>
  <si>
    <t xml:space="preserve">open order : 간단히 체결 화면, 미체결주문 표시하는 화면과 옆에 취소하는 항목 추가 </t>
    <phoneticPr fontId="11" type="noConversion"/>
  </si>
  <si>
    <t xml:space="preserve">LS투자증권의 수동매매는 모두 증권사 화면을 활용함. </t>
    <phoneticPr fontId="11" type="noConversion"/>
  </si>
  <si>
    <t xml:space="preserve">단, 장후 동시호가 전용 화면 추가 (주식선물 대응 주문 ) </t>
    <phoneticPr fontId="11" type="noConversion"/>
  </si>
  <si>
    <t>원달러선물종목명</t>
    <phoneticPr fontId="11" type="noConversion"/>
  </si>
  <si>
    <t xml:space="preserve">실행버튼 </t>
    <phoneticPr fontId="11" type="noConversion"/>
  </si>
  <si>
    <t xml:space="preserve">대응주문 개시 </t>
    <phoneticPr fontId="11" type="noConversion"/>
  </si>
  <si>
    <t xml:space="preserve">대응주문 로직 : </t>
    <phoneticPr fontId="11" type="noConversion"/>
  </si>
  <si>
    <t>수량</t>
    <phoneticPr fontId="11" type="noConversion"/>
  </si>
  <si>
    <t>가격</t>
    <phoneticPr fontId="11" type="noConversion"/>
  </si>
  <si>
    <t>주문틱</t>
    <phoneticPr fontId="11" type="noConversion"/>
  </si>
  <si>
    <t>현재가 + 주문틱</t>
    <phoneticPr fontId="11" type="noConversion"/>
  </si>
  <si>
    <t>현재가 - 주문틱</t>
    <phoneticPr fontId="11" type="noConversion"/>
  </si>
  <si>
    <t>자동주문중 !</t>
    <phoneticPr fontId="11" type="noConversion"/>
  </si>
  <si>
    <t xml:space="preserve">주문발생시 : (체결이 아니고 주문이 발생될때 즉시 발생) </t>
    <phoneticPr fontId="11" type="noConversion"/>
  </si>
  <si>
    <t xml:space="preserve">취소나 정정은 수동으로 알아서 할거임 !! 신규주문만 잘쏘면 됨 </t>
    <phoneticPr fontId="11" type="noConversion"/>
  </si>
  <si>
    <t xml:space="preserve">원달러매수 </t>
    <phoneticPr fontId="11" type="noConversion"/>
  </si>
  <si>
    <t>원달러매도</t>
    <phoneticPr fontId="11" type="noConversion"/>
  </si>
  <si>
    <t>주식선물매수</t>
    <phoneticPr fontId="11" type="noConversion"/>
  </si>
  <si>
    <t>주식선물매도</t>
    <phoneticPr fontId="11" type="noConversion"/>
  </si>
  <si>
    <t xml:space="preserve">각 주문 건에 맞추어 주문 나가면 됨 </t>
    <phoneticPr fontId="11" type="noConversion"/>
  </si>
  <si>
    <t xml:space="preserve">서킷 중간에 api 재접속시 알수없음 </t>
    <phoneticPr fontId="11" type="noConversion"/>
  </si>
  <si>
    <t>장운영 데이터는 실시간 데이터 이므로 조회가 안됨</t>
    <phoneticPr fontId="11" type="noConversion"/>
  </si>
  <si>
    <t xml:space="preserve">바로쏴 주문의 경우 장중시장중단 상황을 판단할수 없다 </t>
    <phoneticPr fontId="11" type="noConversion"/>
  </si>
  <si>
    <t xml:space="preserve">하지만 vi 중에는 주문 안나가게 한다 </t>
    <phoneticPr fontId="11" type="noConversion"/>
  </si>
  <si>
    <t xml:space="preserve"> 사용자 세팅 시간 으로 한다 </t>
    <phoneticPr fontId="11" type="noConversion"/>
  </si>
  <si>
    <t xml:space="preserve">-&gt; 후주문의 재주문은 안함 , 바로쏴의 경우도 동시에쏜 주문 재주문 안함 </t>
    <phoneticPr fontId="11" type="noConversion"/>
  </si>
  <si>
    <t>5호가 0.5초</t>
    <phoneticPr fontId="11" type="noConversion"/>
  </si>
  <si>
    <t>달러</t>
    <phoneticPr fontId="11" type="noConversion"/>
  </si>
  <si>
    <t xml:space="preserve">api 제공수치면 충분. </t>
    <phoneticPr fontId="11" type="noConversion"/>
  </si>
  <si>
    <t>없어도 됨</t>
    <phoneticPr fontId="11" type="noConversion"/>
  </si>
  <si>
    <t xml:space="preserve">LS투자증권 ( 애프터장 동시호가 환 자동주문) </t>
    <phoneticPr fontId="11" type="noConversion"/>
  </si>
  <si>
    <t xml:space="preserve">원달러헤지계좌에 사용 </t>
    <phoneticPr fontId="11" type="noConversion"/>
  </si>
  <si>
    <t>주식선물 동시호가로 주문 제한 주문 가능 시간 (8:30~8:46, 15:35~15:46)</t>
    <phoneticPr fontId="11" type="noConversion"/>
  </si>
  <si>
    <t xml:space="preserve">대응주문 개시후 LS선물(주식은 아님) 주문감시 ( 종목은 하이닉스,삼성전자 주식선물에 한함 ) </t>
    <phoneticPr fontId="11" type="noConversion"/>
  </si>
  <si>
    <t>헤지비율</t>
    <phoneticPr fontId="11" type="noConversion"/>
  </si>
  <si>
    <t>자기호가기준</t>
    <phoneticPr fontId="11" type="noConversion"/>
  </si>
  <si>
    <t>체크시 S제외</t>
    <phoneticPr fontId="11" type="noConversion"/>
  </si>
  <si>
    <t>* RVS 는 당장 개발하는게 아님 대주거래는 추후에 적용</t>
    <phoneticPr fontId="11" type="noConversion"/>
  </si>
  <si>
    <t xml:space="preserve">* 정방향만 먼저개발 </t>
    <phoneticPr fontId="11" type="noConversion"/>
  </si>
  <si>
    <t xml:space="preserve">+ 표기 </t>
    <phoneticPr fontId="11" type="noConversion"/>
  </si>
  <si>
    <t>+표기</t>
    <phoneticPr fontId="11" type="noConversion"/>
  </si>
  <si>
    <t>EN (거래스냅샷)</t>
    <phoneticPr fontId="11" type="noConversion"/>
  </si>
  <si>
    <t>EX (거래스냅샷)</t>
    <phoneticPr fontId="11" type="noConversion"/>
  </si>
  <si>
    <t>체결차는 : 주식잔고(매도면 - 표기)  + HP 잔고(매도면 - 표기)</t>
    <phoneticPr fontId="11" type="noConversion"/>
  </si>
  <si>
    <t xml:space="preserve">체결차 조금이라도 발생시 . 매매실행 정지 ( 각 1st ,2nd,3rd 중 ) </t>
    <phoneticPr fontId="11" type="noConversion"/>
  </si>
  <si>
    <t xml:space="preserve">** 내가 산식허갈릴수 있어. 다르면 달인수익으로.. </t>
    <phoneticPr fontId="11" type="noConversion"/>
  </si>
  <si>
    <t>HP-SF</t>
    <phoneticPr fontId="11" type="noConversion"/>
  </si>
  <si>
    <t xml:space="preserve">EN </t>
    <phoneticPr fontId="11" type="noConversion"/>
  </si>
  <si>
    <t xml:space="preserve">EX </t>
    <phoneticPr fontId="11" type="noConversion"/>
  </si>
  <si>
    <t>각 주문 취소후 다시 주문 발생시 딜레이 타임사용</t>
    <phoneticPr fontId="11" type="noConversion"/>
  </si>
  <si>
    <t xml:space="preserve">목표  수량 채워져도 실행 버튼이 꺼지지 않음 . 청산 되면 추가 진입이 가능하니깐. </t>
    <phoneticPr fontId="11" type="noConversion"/>
  </si>
  <si>
    <t xml:space="preserve">진입한도 </t>
    <phoneticPr fontId="11" type="noConversion"/>
  </si>
  <si>
    <t xml:space="preserve">min(주문가능수량, 1회주문수량, 목표진입량 - RT )  </t>
    <phoneticPr fontId="11" type="noConversion"/>
  </si>
  <si>
    <t xml:space="preserve">체결차가 세팅된 1회주문 수량과 같거나 큰 상황 발생시 해당 1st ~3rd 프로세스 중단 </t>
    <phoneticPr fontId="11" type="noConversion"/>
  </si>
  <si>
    <t xml:space="preserve">일부체결후에 가격 정정상황시 딜레이 타임이후 다시 1회주문 수량의 주문을 발생함 </t>
    <phoneticPr fontId="11" type="noConversion"/>
  </si>
  <si>
    <t xml:space="preserve">* 이철승이 결정 해서 용규 알려주기 꼬옥 ! </t>
    <phoneticPr fontId="11" type="noConversion"/>
  </si>
  <si>
    <t xml:space="preserve">체결차 누적이 1회주문수량보다 같거나 클경우 해당 1st~3rd 주문 프로세스 중지 </t>
    <phoneticPr fontId="11" type="noConversion"/>
  </si>
  <si>
    <t xml:space="preserve">계좌별 관리 </t>
    <phoneticPr fontId="11" type="noConversion"/>
  </si>
  <si>
    <t xml:space="preserve">    +HP / -SF(EX)</t>
    <phoneticPr fontId="11" type="noConversion"/>
  </si>
  <si>
    <t xml:space="preserve">    -HP / +SF(EX)</t>
    <phoneticPr fontId="11" type="noConversion"/>
  </si>
  <si>
    <t xml:space="preserve">데일리체크 </t>
    <phoneticPr fontId="11" type="noConversion"/>
  </si>
  <si>
    <t xml:space="preserve">secret key </t>
    <phoneticPr fontId="11" type="noConversion"/>
  </si>
  <si>
    <t>ask diff (S)</t>
  </si>
  <si>
    <t>ask diff (S)</t>
    <phoneticPr fontId="11" type="noConversion"/>
  </si>
  <si>
    <t>bid diff (S)</t>
  </si>
  <si>
    <t>bid diff (S)</t>
    <phoneticPr fontId="11" type="noConversion"/>
  </si>
  <si>
    <t>cp diff(S)</t>
  </si>
  <si>
    <t>cp diff(S)</t>
    <phoneticPr fontId="11" type="noConversion"/>
  </si>
  <si>
    <t>주식현재가대비 매도/매수호가의 괴리율</t>
    <phoneticPr fontId="11" type="noConversion"/>
  </si>
  <si>
    <t>주식현재가대비 HP 괴리율</t>
    <phoneticPr fontId="11" type="noConversion"/>
  </si>
  <si>
    <t>HP현-S/SF현이론</t>
  </si>
  <si>
    <t>HP현-S/SF현이론</t>
    <phoneticPr fontId="11" type="noConversion"/>
  </si>
  <si>
    <t>S사용자입력SF</t>
  </si>
  <si>
    <t>S사용자입력SF</t>
    <phoneticPr fontId="11" type="noConversion"/>
  </si>
  <si>
    <t>S현재가 대비 SF호가별괴리</t>
  </si>
  <si>
    <t>S현재가 대비 SF호가별괴리</t>
    <phoneticPr fontId="11" type="noConversion"/>
  </si>
  <si>
    <t>S현재가대비 HP별 호가괴리</t>
  </si>
  <si>
    <t>S현재가대비 HP별 호가괴리</t>
    <phoneticPr fontId="11" type="noConversion"/>
  </si>
  <si>
    <t xml:space="preserve">주식 예체가 수기입력 </t>
    <phoneticPr fontId="11" type="noConversion"/>
  </si>
  <si>
    <t xml:space="preserve">  입력가 (S)</t>
  </si>
  <si>
    <t xml:space="preserve">  입력가 (S)</t>
    <phoneticPr fontId="11" type="noConversion"/>
  </si>
  <si>
    <t>sprd/pos size(천)</t>
  </si>
  <si>
    <t>sprd/pos size(천)</t>
    <phoneticPr fontId="11" type="noConversion"/>
  </si>
  <si>
    <t>enfee®/slpg/합</t>
  </si>
  <si>
    <t>enfee®/slpg/합</t>
    <phoneticPr fontId="11" type="noConversion"/>
  </si>
  <si>
    <t>삼성</t>
  </si>
  <si>
    <t>상대.평가손(천)</t>
  </si>
  <si>
    <t>청산손(천)</t>
  </si>
  <si>
    <t>-HP/+SF</t>
  </si>
  <si>
    <t>+HP/-SF</t>
  </si>
  <si>
    <t>-HP/+S</t>
  </si>
  <si>
    <t>+HP/-S</t>
  </si>
  <si>
    <t>*SPRD :HP상대호가 SF자기호가기준</t>
    <phoneticPr fontId="11" type="noConversion"/>
  </si>
  <si>
    <t>차근월물</t>
    <phoneticPr fontId="11" type="noConversion"/>
  </si>
  <si>
    <t>삼성전자 차근월선물</t>
    <phoneticPr fontId="11" type="noConversion"/>
  </si>
  <si>
    <t>SK하이닉스 차근월선물</t>
    <phoneticPr fontId="11" type="noConversion"/>
  </si>
  <si>
    <t>현대차 차근월선물</t>
    <phoneticPr fontId="11" type="noConversion"/>
  </si>
  <si>
    <t>CD91금리(선물이론)</t>
    <phoneticPr fontId="11" type="noConversion"/>
  </si>
  <si>
    <t>SF NXT</t>
    <phoneticPr fontId="11" type="noConversion"/>
  </si>
  <si>
    <t xml:space="preserve">*이론가 산출의 기초자산으로 활용 </t>
    <phoneticPr fontId="11" type="noConversion"/>
  </si>
  <si>
    <t>주선최/차 SP</t>
    <phoneticPr fontId="11" type="noConversion"/>
  </si>
  <si>
    <t>최/차SP</t>
    <phoneticPr fontId="11" type="noConversion"/>
  </si>
  <si>
    <t>선물현재이론가최/차</t>
    <phoneticPr fontId="11" type="noConversion"/>
  </si>
  <si>
    <t>매수단가</t>
    <phoneticPr fontId="11" type="noConversion"/>
  </si>
  <si>
    <t>매도단가</t>
    <phoneticPr fontId="11" type="noConversion"/>
  </si>
  <si>
    <t>원환산</t>
    <phoneticPr fontId="11" type="noConversion"/>
  </si>
  <si>
    <t>손익($)</t>
    <phoneticPr fontId="11" type="noConversion"/>
  </si>
  <si>
    <t xml:space="preserve">반내림(매수계약수*10*주식선물주문가격/환선물현재가/10000*헤지비율)  </t>
    <phoneticPr fontId="11" type="noConversion"/>
  </si>
  <si>
    <t xml:space="preserve">반내림(매도계약수*10*주식선물주문가격/환선물현재가/10000*헤지비율)  </t>
    <phoneticPr fontId="11" type="noConversion"/>
  </si>
  <si>
    <t>8:00~8:50</t>
    <phoneticPr fontId="11" type="noConversion"/>
  </si>
  <si>
    <t>HYNIX</t>
    <phoneticPr fontId="11" type="noConversion"/>
  </si>
  <si>
    <t>SAMS</t>
    <phoneticPr fontId="11" type="noConversion"/>
  </si>
  <si>
    <t>8:00~24:00</t>
    <phoneticPr fontId="11" type="noConversion"/>
  </si>
  <si>
    <t>0:00~6:00</t>
    <phoneticPr fontId="11" type="noConversion"/>
  </si>
  <si>
    <t>HY_ADR(HP)</t>
    <phoneticPr fontId="11" type="noConversion"/>
  </si>
  <si>
    <t xml:space="preserve">PC 재부팅은 6~ 8시 사이 </t>
    <phoneticPr fontId="11" type="noConversion"/>
  </si>
  <si>
    <t>HY_HP</t>
    <phoneticPr fontId="11" type="noConversion"/>
  </si>
  <si>
    <t>SS_H-SF</t>
    <phoneticPr fontId="11" type="noConversion"/>
  </si>
  <si>
    <t>외환금리차</t>
    <phoneticPr fontId="11" type="noConversion"/>
  </si>
  <si>
    <t>기타 시간대에는 최근/차근선물의 현물 역산 방법 사용</t>
    <phoneticPr fontId="11" type="noConversion"/>
  </si>
  <si>
    <t>선물역산현물환율가</t>
    <phoneticPr fontId="11" type="noConversion"/>
  </si>
  <si>
    <t xml:space="preserve">(실제 시장 베이시스유지되는 값으로 넣는게 애프터장 괴리를 줄임 ) 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</si>
</sst>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1" formatCode="_-* #,##0_-;\-* #,##0_-;_-* &quot;-&quot;_-;_-@_-"/>
    <numFmt numFmtId="43" formatCode="_-* #,##0.00_-;\-* #,##0.00_-;_-* &quot;-&quot;??_-;_-@_-"/>
    <numFmt numFmtId="176" formatCode=";;;&quot;************&quot;"/>
    <numFmt numFmtId="177" formatCode="#,##0.#####"/>
    <numFmt numFmtId="178" formatCode="0.000%"/>
    <numFmt numFmtId="179" formatCode="0.0000%"/>
    <numFmt numFmtId="180" formatCode="#,##0.00######"/>
    <numFmt numFmtId="181" formatCode="h:mm:ss;@"/>
    <numFmt numFmtId="182" formatCode="_-* #,##0.000_-;\-* #,##0.000_-;_-* &quot;-&quot;_-;_-@_-"/>
    <numFmt numFmtId="183" formatCode="_-* #,##0.00_-;\-* #,##0.00_-;_-* &quot;-&quot;_-;_-@_-"/>
    <numFmt numFmtId="184" formatCode="[$-F400]h:mm:ss\ AM/PM"/>
    <numFmt numFmtId="185" formatCode="_-* #,##0.0_-;\-* #,##0.0_-;_-* &quot;-&quot;_-;_-@_-"/>
    <numFmt numFmtId="186" formatCode="#,##0.0_ "/>
    <numFmt numFmtId="187" formatCode="#,##0_ "/>
    <numFmt numFmtId="188" formatCode="#,##0.0"/>
    <numFmt numFmtId="189" formatCode="0_);[Red]\(0\)"/>
    <numFmt numFmtId="190" formatCode="_-* #,##0_-;\-* #,##0_-;_-* &quot;-&quot;??_-;_-@_-"/>
    <numFmt numFmtId="191" formatCode="#,##0.00_ "/>
    <numFmt numFmtId="192" formatCode="0.0%"/>
    <numFmt numFmtId="194" formatCode="yy&quot;-&quot;m&quot;-&quot;d\ h:mm;@"/>
    <numFmt numFmtId="195" formatCode="0_ "/>
  </numFmts>
  <fonts count="79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name val="맑은 고딕"/>
      <family val="3"/>
      <charset val="129"/>
    </font>
    <font>
      <b/>
      <sz val="11"/>
      <name val="맑은 고딕"/>
      <family val="3"/>
      <charset val="129"/>
    </font>
    <font>
      <sz val="9"/>
      <color rgb="FF666666"/>
      <name val="맑은 고딕"/>
      <family val="3"/>
      <charset val="129"/>
    </font>
    <font>
      <b/>
      <sz val="13"/>
      <name val="맑은 고딕"/>
      <family val="3"/>
      <charset val="129"/>
    </font>
    <font>
      <b/>
      <sz val="12"/>
      <name val="맑은 고딕"/>
      <family val="3"/>
      <charset val="129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</font>
    <font>
      <b/>
      <sz val="12"/>
      <color rgb="FFFFFF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sz val="11"/>
      <color theme="0"/>
      <name val="맑은 고딕"/>
      <family val="2"/>
      <scheme val="minor"/>
    </font>
    <font>
      <sz val="8"/>
      <color theme="1"/>
      <name val="맑은 고딕"/>
      <family val="3"/>
      <charset val="129"/>
      <scheme val="minor"/>
    </font>
    <font>
      <sz val="8"/>
      <color theme="0" tint="-0.34998626667073579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8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  <font>
      <b/>
      <sz val="9"/>
      <color theme="1" tint="4.9989318521683403E-2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9"/>
      <color theme="0" tint="-0.34998626667073579"/>
      <name val="맑은 고딕"/>
      <family val="3"/>
      <charset val="129"/>
      <scheme val="minor"/>
    </font>
    <font>
      <sz val="9"/>
      <color theme="1"/>
      <name val="맑은 고딕"/>
      <family val="2"/>
      <scheme val="minor"/>
    </font>
    <font>
      <b/>
      <sz val="14"/>
      <color theme="1"/>
      <name val="맑은 고딕"/>
      <family val="3"/>
      <charset val="129"/>
      <scheme val="minor"/>
    </font>
    <font>
      <sz val="8"/>
      <color rgb="FFFF0000"/>
      <name val="맑은 고딕"/>
      <family val="3"/>
      <charset val="129"/>
      <scheme val="minor"/>
    </font>
    <font>
      <sz val="9"/>
      <color theme="1" tint="0.499984740745262"/>
      <name val="맑은 고딕"/>
      <family val="3"/>
      <charset val="129"/>
      <scheme val="minor"/>
    </font>
    <font>
      <sz val="8"/>
      <color theme="1" tint="0.499984740745262"/>
      <name val="맑은 고딕"/>
      <family val="3"/>
      <charset val="129"/>
      <scheme val="minor"/>
    </font>
    <font>
      <sz val="9"/>
      <color theme="1" tint="0.499984740745262"/>
      <name val="맑은 고딕"/>
      <family val="2"/>
      <scheme val="minor"/>
    </font>
    <font>
      <sz val="10"/>
      <color theme="0" tint="-0.34998626667073579"/>
      <name val="맑은 고딕"/>
      <family val="3"/>
      <charset val="129"/>
      <scheme val="minor"/>
    </font>
    <font>
      <b/>
      <sz val="10"/>
      <color rgb="FFBFBFBF"/>
      <name val="Segoe UI"/>
      <family val="2"/>
    </font>
    <font>
      <b/>
      <sz val="10"/>
      <color theme="0"/>
      <name val="맑은 고딕"/>
      <family val="3"/>
      <charset val="129"/>
      <scheme val="minor"/>
    </font>
    <font>
      <u/>
      <sz val="9"/>
      <color theme="1"/>
      <name val="맑은 고딕"/>
      <family val="3"/>
      <charset val="129"/>
      <scheme val="minor"/>
    </font>
    <font>
      <u/>
      <sz val="9"/>
      <name val="맑은 고딕"/>
      <family val="3"/>
      <charset val="129"/>
    </font>
    <font>
      <u/>
      <sz val="11"/>
      <color theme="10"/>
      <name val="맑은 고딕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9"/>
      <name val="맑은 고딕"/>
      <family val="3"/>
      <charset val="129"/>
    </font>
    <font>
      <sz val="8"/>
      <color theme="1"/>
      <name val="맑은 고딕"/>
      <family val="3"/>
      <charset val="129"/>
    </font>
    <font>
      <sz val="7"/>
      <color theme="1" tint="0.34998626667073579"/>
      <name val="맑은 고딕"/>
      <family val="3"/>
      <charset val="129"/>
      <scheme val="minor"/>
    </font>
    <font>
      <sz val="9.9"/>
      <color theme="1" tint="0.34998626667073579"/>
      <name val="Courier New"/>
      <family val="3"/>
    </font>
    <font>
      <sz val="8"/>
      <color theme="0" tint="-0.499984740745262"/>
      <name val="맑은 고딕"/>
      <family val="3"/>
      <charset val="129"/>
      <scheme val="minor"/>
    </font>
    <font>
      <sz val="7"/>
      <color theme="1" tint="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  <font>
      <b/>
      <sz val="9"/>
      <color theme="3" tint="0.39997558519241921"/>
      <name val="맑은 고딕"/>
      <family val="3"/>
      <charset val="129"/>
      <scheme val="minor"/>
    </font>
    <font>
      <sz val="8"/>
      <color theme="1"/>
      <name val="맑은 고딕"/>
      <family val="2"/>
      <scheme val="minor"/>
    </font>
    <font>
      <sz val="11"/>
      <color theme="0"/>
      <name val="맑은 고딕"/>
      <family val="3"/>
      <charset val="129"/>
    </font>
    <font>
      <sz val="11"/>
      <color theme="0" tint="-0.34998626667073579"/>
      <name val="맑은 고딕"/>
      <family val="2"/>
      <scheme val="minor"/>
    </font>
    <font>
      <sz val="11"/>
      <color theme="0" tint="-0.34998626667073579"/>
      <name val="맑은 고딕"/>
      <family val="3"/>
      <charset val="129"/>
      <scheme val="minor"/>
    </font>
    <font>
      <u/>
      <sz val="11"/>
      <color theme="1"/>
      <name val="맑은 고딕"/>
      <family val="2"/>
      <scheme val="minor"/>
    </font>
    <font>
      <u/>
      <sz val="9"/>
      <color theme="1"/>
      <name val="맑은 고딕"/>
      <family val="2"/>
      <scheme val="minor"/>
    </font>
    <font>
      <b/>
      <sz val="8"/>
      <color indexed="81"/>
      <name val="돋움"/>
      <family val="3"/>
      <charset val="129"/>
    </font>
    <font>
      <i/>
      <sz val="10"/>
      <color theme="1"/>
      <name val="맑은 고딕"/>
      <family val="3"/>
      <charset val="129"/>
      <scheme val="minor"/>
    </font>
    <font>
      <u/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 tint="0.249977111117893"/>
      <name val="맑은 고딕"/>
      <family val="3"/>
      <charset val="129"/>
      <scheme val="minor"/>
    </font>
    <font>
      <b/>
      <sz val="12"/>
      <color theme="0" tint="-0.499984740745262"/>
      <name val="맑은 고딕"/>
      <family val="3"/>
      <charset val="129"/>
      <scheme val="minor"/>
    </font>
    <font>
      <sz val="7"/>
      <color theme="1"/>
      <name val="맑은 고딕"/>
      <family val="3"/>
      <charset val="129"/>
      <scheme val="minor"/>
    </font>
    <font>
      <sz val="7"/>
      <color theme="0" tint="-0.34998626667073579"/>
      <name val="맑은 고딕"/>
      <family val="3"/>
      <charset val="129"/>
      <scheme val="minor"/>
    </font>
    <font>
      <b/>
      <sz val="21"/>
      <color theme="0"/>
      <name val="맑은 고딕"/>
      <family val="3"/>
      <charset val="129"/>
      <scheme val="minor"/>
    </font>
    <font>
      <sz val="21"/>
      <color theme="1"/>
      <name val="맑은 고딕"/>
      <family val="3"/>
      <charset val="129"/>
      <scheme val="minor"/>
    </font>
    <font>
      <sz val="8"/>
      <color theme="0" tint="-0.249977111117893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b/>
      <sz val="8"/>
      <color theme="0"/>
      <name val="맑은 고딕"/>
      <family val="3"/>
      <charset val="129"/>
      <scheme val="minor"/>
    </font>
    <font>
      <b/>
      <sz val="7"/>
      <color theme="1"/>
      <name val="맑은 고딕"/>
      <family val="3"/>
      <charset val="129"/>
      <scheme val="minor"/>
    </font>
    <font>
      <b/>
      <sz val="7"/>
      <color theme="1" tint="4.9989318521683403E-2"/>
      <name val="맑은 고딕"/>
      <family val="3"/>
      <charset val="129"/>
      <scheme val="minor"/>
    </font>
    <font>
      <sz val="6"/>
      <color theme="1"/>
      <name val="맑은 고딕"/>
      <family val="3"/>
      <charset val="129"/>
      <scheme val="minor"/>
    </font>
    <font>
      <sz val="6"/>
      <color theme="0" tint="-0.34998626667073579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2E8D8"/>
      </patternFill>
    </fill>
    <fill>
      <patternFill patternType="solid">
        <fgColor rgb="FFEAEAEA"/>
      </patternFill>
    </fill>
    <fill>
      <patternFill patternType="solid">
        <fgColor rgb="FFE8F0E8"/>
      </patternFill>
    </fill>
    <fill>
      <patternFill patternType="solid">
        <fgColor rgb="FFFFFF00"/>
        <bgColor indexed="64"/>
      </patternFill>
    </fill>
    <fill>
      <patternFill patternType="solid">
        <fgColor rgb="FF3A2E1E"/>
      </patternFill>
    </fill>
    <fill>
      <patternFill patternType="solid">
        <fgColor rgb="FF1E2A38"/>
      </patternFill>
    </fill>
    <fill>
      <patternFill patternType="solid">
        <fgColor rgb="FFF2E8D8"/>
      </patternFill>
    </fill>
    <fill>
      <patternFill patternType="solid">
        <fgColor theme="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4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/>
      <top style="thin">
        <color theme="6" tint="0.59996337778862885"/>
      </top>
      <bottom style="thin">
        <color theme="6" tint="0.59996337778862885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thin">
        <color theme="6" tint="0.59996337778862885"/>
      </bottom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thin">
        <color theme="6" tint="0.59996337778862885"/>
      </bottom>
      <diagonal/>
    </border>
    <border>
      <left style="medium">
        <color theme="1" tint="0.499984740745262"/>
      </left>
      <right/>
      <top style="thin">
        <color theme="6" tint="0.59996337778862885"/>
      </top>
      <bottom style="thin">
        <color theme="6" tint="0.59996337778862885"/>
      </bottom>
      <diagonal/>
    </border>
    <border>
      <left style="medium">
        <color theme="1" tint="0.499984740745262"/>
      </left>
      <right/>
      <top style="thin">
        <color theme="6" tint="0.59996337778862885"/>
      </top>
      <bottom style="medium">
        <color theme="1" tint="0.499984740745262"/>
      </bottom>
      <diagonal/>
    </border>
    <border>
      <left style="medium">
        <color theme="1" tint="0.499984740745262"/>
      </left>
      <right/>
      <top style="thin">
        <color theme="6" tint="0.59996337778862885"/>
      </top>
      <bottom style="thin">
        <color theme="1" tint="0.499984740745262"/>
      </bottom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6" tint="0.59996337778862885"/>
      </top>
      <bottom style="thin">
        <color theme="1" tint="0.499984740745262"/>
      </bottom>
      <diagonal/>
    </border>
    <border>
      <left/>
      <right/>
      <top style="thin">
        <color theme="6" tint="0.59996337778862885"/>
      </top>
      <bottom style="thin">
        <color theme="1" tint="0.499984740745262"/>
      </bottom>
      <diagonal/>
    </border>
    <border>
      <left style="medium">
        <color theme="1" tint="0.499984740745262"/>
      </left>
      <right/>
      <top style="thin">
        <color theme="1" tint="0.499984740745262"/>
      </top>
      <bottom style="thin">
        <color theme="6" tint="0.59996337778862885"/>
      </bottom>
      <diagonal/>
    </border>
    <border>
      <left style="medium">
        <color theme="1" tint="0.24994659260841701"/>
      </left>
      <right style="medium">
        <color theme="1" tint="0.24994659260841701"/>
      </right>
      <top/>
      <bottom style="medium">
        <color theme="1" tint="0.24994659260841701"/>
      </bottom>
      <diagonal/>
    </border>
    <border>
      <left style="medium">
        <color theme="1" tint="0.24994659260841701"/>
      </left>
      <right style="medium">
        <color theme="1" tint="0.24994659260841701"/>
      </right>
      <top style="medium">
        <color theme="1" tint="0.24994659260841701"/>
      </top>
      <bottom/>
      <diagonal/>
    </border>
    <border>
      <left style="medium">
        <color theme="2" tint="-0.499984740745262"/>
      </left>
      <right/>
      <top style="medium">
        <color theme="2" tint="-0.499984740745262"/>
      </top>
      <bottom style="thin">
        <color theme="1" tint="0.24994659260841701"/>
      </bottom>
      <diagonal/>
    </border>
    <border>
      <left/>
      <right style="medium">
        <color theme="2" tint="-0.499984740745262"/>
      </right>
      <top style="medium">
        <color theme="2" tint="-0.499984740745262"/>
      </top>
      <bottom style="thin">
        <color theme="1" tint="0.24994659260841701"/>
      </bottom>
      <diagonal/>
    </border>
    <border>
      <left/>
      <right/>
      <top style="medium">
        <color theme="2" tint="-0.499984740745262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 style="thin">
        <color theme="1" tint="0.24994659260841701"/>
      </bottom>
      <diagonal/>
    </border>
    <border>
      <left style="medium">
        <color theme="2" tint="-0.499984740745262"/>
      </left>
      <right style="thin">
        <color theme="2" tint="-0.24994659260841701"/>
      </right>
      <top style="thin">
        <color theme="1" tint="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 tint="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medium">
        <color theme="2" tint="-0.499984740745262"/>
      </right>
      <top style="thin">
        <color theme="1" tint="0.24994659260841701"/>
      </top>
      <bottom style="thin">
        <color theme="2" tint="-0.24994659260841701"/>
      </bottom>
      <diagonal/>
    </border>
    <border>
      <left style="medium">
        <color theme="2" tint="-0.499984740745262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medium">
        <color theme="2" tint="-0.499984740745262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theme="2" tint="-0.499984740745262"/>
      </left>
      <right style="thin">
        <color theme="2" tint="-0.24994659260841701"/>
      </right>
      <top style="thin">
        <color theme="2" tint="-0.24994659260841701"/>
      </top>
      <bottom style="medium">
        <color theme="2" tint="-0.499984740745262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medium">
        <color theme="2" tint="-0.499984740745262"/>
      </bottom>
      <diagonal/>
    </border>
    <border>
      <left style="thin">
        <color theme="2" tint="-0.24994659260841701"/>
      </left>
      <right style="medium">
        <color theme="2" tint="-0.499984740745262"/>
      </right>
      <top style="thin">
        <color theme="2" tint="-0.24994659260841701"/>
      </top>
      <bottom style="medium">
        <color theme="2" tint="-0.499984740745262"/>
      </bottom>
      <diagonal/>
    </border>
    <border>
      <left style="medium">
        <color theme="2" tint="-0.499984740745262"/>
      </left>
      <right style="thin">
        <color theme="2" tint="-0.24994659260841701"/>
      </right>
      <top style="thin">
        <color theme="1" tint="0.24994659260841701"/>
      </top>
      <bottom/>
      <diagonal/>
    </border>
    <border>
      <left style="medium">
        <color theme="2" tint="-0.499984740745262"/>
      </left>
      <right style="thin">
        <color theme="2" tint="-0.24994659260841701"/>
      </right>
      <top/>
      <bottom/>
      <diagonal/>
    </border>
    <border>
      <left style="medium">
        <color theme="2" tint="-0.499984740745262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medium">
        <color theme="2" tint="-0.499984740745262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medium">
        <color theme="1" tint="0.24994659260841701"/>
      </left>
      <right style="medium">
        <color theme="1" tint="0.2499465926084170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theme="1" tint="0.34998626667073579"/>
      </left>
      <right style="medium">
        <color theme="1" tint="0.34998626667073579"/>
      </right>
      <top/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 style="medium">
        <color theme="2" tint="-0.499984740745262"/>
      </left>
      <right/>
      <top style="medium">
        <color theme="2" tint="-0.499984740745262"/>
      </top>
      <bottom/>
      <diagonal/>
    </border>
    <border>
      <left style="medium">
        <color theme="2" tint="-0.499984740745262"/>
      </left>
      <right/>
      <top/>
      <bottom style="medium">
        <color theme="2" tint="-0.499984740745262"/>
      </bottom>
      <diagonal/>
    </border>
    <border>
      <left style="dashDot">
        <color auto="1"/>
      </left>
      <right style="dashDot">
        <color auto="1"/>
      </right>
      <top style="dashDot">
        <color auto="1"/>
      </top>
      <bottom style="dashed">
        <color theme="0" tint="-0.499984740745262"/>
      </bottom>
      <diagonal/>
    </border>
    <border>
      <left style="dashDot">
        <color auto="1"/>
      </left>
      <right style="dashDot">
        <color auto="1"/>
      </right>
      <top style="dashed">
        <color theme="0" tint="-0.499984740745262"/>
      </top>
      <bottom style="dashed">
        <color theme="0" tint="-0.499984740745262"/>
      </bottom>
      <diagonal/>
    </border>
    <border>
      <left style="dashDot">
        <color auto="1"/>
      </left>
      <right style="dashDot">
        <color auto="1"/>
      </right>
      <top style="dashed">
        <color theme="0" tint="-0.499984740745262"/>
      </top>
      <bottom style="dashDot">
        <color auto="1"/>
      </bottom>
      <diagonal/>
    </border>
    <border>
      <left style="dashDot">
        <color auto="1"/>
      </left>
      <right style="dashed">
        <color theme="0" tint="-0.499984740745262"/>
      </right>
      <top style="dashDot">
        <color auto="1"/>
      </top>
      <bottom style="dashed">
        <color theme="0" tint="-0.499984740745262"/>
      </bottom>
      <diagonal/>
    </border>
    <border>
      <left style="dashed">
        <color theme="0" tint="-0.499984740745262"/>
      </left>
      <right style="dashDot">
        <color auto="1"/>
      </right>
      <top style="dashDot">
        <color auto="1"/>
      </top>
      <bottom style="dashed">
        <color theme="0" tint="-0.499984740745262"/>
      </bottom>
      <diagonal/>
    </border>
    <border>
      <left style="dashDot">
        <color auto="1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dashed">
        <color theme="0" tint="-0.499984740745262"/>
      </left>
      <right style="dashDot">
        <color auto="1"/>
      </right>
      <top style="dashed">
        <color theme="0" tint="-0.499984740745262"/>
      </top>
      <bottom style="dashed">
        <color theme="0" tint="-0.499984740745262"/>
      </bottom>
      <diagonal/>
    </border>
    <border>
      <left style="dashDot">
        <color auto="1"/>
      </left>
      <right style="dashed">
        <color theme="0" tint="-0.499984740745262"/>
      </right>
      <top style="dashed">
        <color theme="0" tint="-0.499984740745262"/>
      </top>
      <bottom style="dashDot">
        <color auto="1"/>
      </bottom>
      <diagonal/>
    </border>
    <border>
      <left style="dashed">
        <color theme="0" tint="-0.499984740745262"/>
      </left>
      <right style="dashDot">
        <color auto="1"/>
      </right>
      <top style="dashed">
        <color theme="0" tint="-0.499984740745262"/>
      </top>
      <bottom style="dashDot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theme="2" tint="-0.499984740745262"/>
      </left>
      <right style="medium">
        <color theme="2" tint="-0.499984740745262"/>
      </right>
      <top style="medium">
        <color theme="2" tint="-0.499984740745262"/>
      </top>
      <bottom style="medium">
        <color theme="2" tint="-0.499984740745262"/>
      </bottom>
      <diagonal/>
    </border>
    <border>
      <left style="medium">
        <color theme="1" tint="0.24994659260841701"/>
      </left>
      <right style="medium">
        <color theme="1" tint="0.24994659260841701"/>
      </right>
      <top style="medium">
        <color theme="1" tint="0.24994659260841701"/>
      </top>
      <bottom style="medium">
        <color theme="1" tint="0.2499465926084170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rgb="FFCCCCCC"/>
      </left>
      <right/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/>
      <bottom style="thin">
        <color rgb="FFCCCCCC"/>
      </bottom>
      <diagonal/>
    </border>
    <border>
      <left style="thin">
        <color rgb="FFCCCCCC"/>
      </left>
      <right style="thin">
        <color rgb="FFCCCCCC"/>
      </right>
      <top/>
      <bottom/>
      <diagonal/>
    </border>
    <border>
      <left style="medium">
        <color theme="2" tint="-0.499984740745262"/>
      </left>
      <right style="medium">
        <color theme="1" tint="0.24994659260841701"/>
      </right>
      <top style="medium">
        <color theme="2" tint="-0.499984740745262"/>
      </top>
      <bottom style="medium">
        <color theme="2" tint="-0.499984740745262"/>
      </bottom>
      <diagonal/>
    </border>
    <border>
      <left style="double">
        <color theme="3" tint="0.39994506668294322"/>
      </left>
      <right/>
      <top style="double">
        <color theme="3" tint="0.39994506668294322"/>
      </top>
      <bottom style="double">
        <color theme="3" tint="0.39991454817346722"/>
      </bottom>
      <diagonal/>
    </border>
    <border>
      <left/>
      <right/>
      <top style="double">
        <color theme="3" tint="0.39994506668294322"/>
      </top>
      <bottom style="double">
        <color theme="3" tint="0.39991454817346722"/>
      </bottom>
      <diagonal/>
    </border>
    <border>
      <left/>
      <right style="double">
        <color theme="3" tint="0.39994506668294322"/>
      </right>
      <top style="double">
        <color theme="3" tint="0.39994506668294322"/>
      </top>
      <bottom style="double">
        <color theme="3" tint="0.39991454817346722"/>
      </bottom>
      <diagonal/>
    </border>
    <border>
      <left/>
      <right style="medium">
        <color theme="1" tint="0.499984740745262"/>
      </right>
      <top/>
      <bottom/>
      <diagonal/>
    </border>
    <border>
      <left style="medium">
        <color theme="1" tint="0.34998626667073579"/>
      </left>
      <right style="hair">
        <color theme="1" tint="0.34998626667073579"/>
      </right>
      <top style="medium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medium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hair">
        <color theme="1" tint="0.34998626667073579"/>
      </bottom>
      <diagonal/>
    </border>
    <border>
      <left style="medium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medium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medium">
        <color theme="1" tint="0.34998626667073579"/>
      </bottom>
      <diagonal/>
    </border>
    <border>
      <left style="hair">
        <color theme="1" tint="0.34998626667073579"/>
      </left>
      <right style="medium">
        <color theme="1" tint="0.34998626667073579"/>
      </right>
      <top style="hair">
        <color theme="1" tint="0.34998626667073579"/>
      </top>
      <bottom style="medium">
        <color theme="1" tint="0.34998626667073579"/>
      </bottom>
      <diagonal/>
    </border>
    <border>
      <left style="dashed">
        <color theme="1" tint="0.499984740745262"/>
      </left>
      <right style="dashed">
        <color theme="1" tint="0.499984740745262"/>
      </right>
      <top/>
      <bottom style="dashed">
        <color theme="1" tint="0.49998474074526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theme="1" tint="0.34998626667073579"/>
      </right>
      <top style="medium">
        <color auto="1"/>
      </top>
      <bottom style="medium">
        <color theme="1" tint="0.34998626667073579"/>
      </bottom>
      <diagonal/>
    </border>
    <border>
      <left/>
      <right style="thin">
        <color theme="6" tint="0.59996337778862885"/>
      </right>
      <top style="medium">
        <color auto="1"/>
      </top>
      <bottom style="thin">
        <color theme="6" tint="0.59996337778862885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auto="1"/>
      </top>
      <bottom style="medium">
        <color theme="1" tint="0.34998626667073579"/>
      </bottom>
      <diagonal/>
    </border>
    <border>
      <left style="thin">
        <color theme="6" tint="0.59996337778862885"/>
      </left>
      <right style="medium">
        <color auto="1"/>
      </right>
      <top style="medium">
        <color auto="1"/>
      </top>
      <bottom style="thin">
        <color theme="6" tint="0.59996337778862885"/>
      </bottom>
      <diagonal/>
    </border>
    <border>
      <left style="medium">
        <color auto="1"/>
      </left>
      <right style="medium">
        <color theme="1" tint="0.34998626667073579"/>
      </right>
      <top/>
      <bottom style="thin">
        <color theme="6" tint="0.59996337778862885"/>
      </bottom>
      <diagonal/>
    </border>
    <border>
      <left/>
      <right style="medium">
        <color auto="1"/>
      </right>
      <top style="thin">
        <color theme="6" tint="0.59996337778862885"/>
      </top>
      <bottom/>
      <diagonal/>
    </border>
    <border>
      <left style="medium">
        <color auto="1"/>
      </left>
      <right style="medium">
        <color theme="1" tint="0.34998626667073579"/>
      </right>
      <top style="thin">
        <color theme="6" tint="0.59996337778862885"/>
      </top>
      <bottom style="thin">
        <color theme="6" tint="0.59996337778862885"/>
      </bottom>
      <diagonal/>
    </border>
    <border>
      <left/>
      <right style="medium">
        <color auto="1"/>
      </right>
      <top style="thin">
        <color theme="6" tint="0.59996337778862885"/>
      </top>
      <bottom style="thin">
        <color theme="6" tint="0.59996337778862885"/>
      </bottom>
      <diagonal/>
    </border>
    <border>
      <left style="medium">
        <color auto="1"/>
      </left>
      <right style="medium">
        <color theme="1" tint="0.34998626667073579"/>
      </right>
      <top style="thin">
        <color theme="6" tint="0.59996337778862885"/>
      </top>
      <bottom style="thin">
        <color theme="1" tint="0.499984740745262"/>
      </bottom>
      <diagonal/>
    </border>
    <border>
      <left/>
      <right style="medium">
        <color auto="1"/>
      </right>
      <top/>
      <bottom style="thin">
        <color theme="1" tint="0.499984740745262"/>
      </bottom>
      <diagonal/>
    </border>
    <border>
      <left style="medium">
        <color theme="1" tint="0.34998626667073579"/>
      </left>
      <right style="medium">
        <color theme="1" tint="0.34998626667073579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theme="1" tint="0.34998626667073579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theme="1" tint="0.34998626667073579"/>
      </right>
      <top style="thin">
        <color theme="6" tint="0.59996337778862885"/>
      </top>
      <bottom style="medium">
        <color auto="1"/>
      </bottom>
      <diagonal/>
    </border>
    <border>
      <left/>
      <right/>
      <top style="thin">
        <color theme="6" tint="0.59996337778862885"/>
      </top>
      <bottom style="medium">
        <color auto="1"/>
      </bottom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6" tint="0.59996337778862885"/>
      </top>
      <bottom style="medium">
        <color auto="1"/>
      </bottom>
      <diagonal/>
    </border>
    <border>
      <left style="medium">
        <color auto="1"/>
      </left>
      <right/>
      <top/>
      <bottom style="medium">
        <color theme="1" tint="0.499984740745262"/>
      </bottom>
      <diagonal/>
    </border>
    <border>
      <left style="medium">
        <color theme="1" tint="0.34998626667073579"/>
      </left>
      <right style="medium">
        <color auto="1"/>
      </right>
      <top/>
      <bottom style="medium">
        <color theme="1" tint="0.499984740745262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hair">
        <color theme="2" tint="-9.9948118533890809E-2"/>
      </left>
      <right/>
      <top/>
      <bottom/>
      <diagonal/>
    </border>
    <border>
      <left/>
      <right style="hair">
        <color theme="2" tint="-9.9948118533890809E-2"/>
      </right>
      <top/>
      <bottom/>
      <diagonal/>
    </border>
    <border>
      <left/>
      <right/>
      <top/>
      <bottom style="hair">
        <color theme="2" tint="-9.9948118533890809E-2"/>
      </bottom>
      <diagonal/>
    </border>
    <border>
      <left style="thin">
        <color theme="6" tint="0.59996337778862885"/>
      </left>
      <right/>
      <top style="thin">
        <color theme="6" tint="0.59996337778862885"/>
      </top>
      <bottom/>
      <diagonal/>
    </border>
    <border>
      <left/>
      <right/>
      <top style="thin">
        <color theme="6" tint="0.59996337778862885"/>
      </top>
      <bottom/>
      <diagonal/>
    </border>
    <border>
      <left style="thin">
        <color theme="6" tint="0.59996337778862885"/>
      </left>
      <right/>
      <top/>
      <bottom/>
      <diagonal/>
    </border>
    <border>
      <left/>
      <right style="thin">
        <color theme="6" tint="0.59996337778862885"/>
      </right>
      <top/>
      <bottom/>
      <diagonal/>
    </border>
    <border>
      <left style="thin">
        <color theme="6" tint="0.59996337778862885"/>
      </left>
      <right/>
      <top/>
      <bottom style="thin">
        <color theme="6" tint="0.59996337778862885"/>
      </bottom>
      <diagonal/>
    </border>
    <border>
      <left style="hair">
        <color theme="2" tint="-9.9948118533890809E-2"/>
      </left>
      <right/>
      <top/>
      <bottom style="thin">
        <color theme="6" tint="0.59996337778862885"/>
      </bottom>
      <diagonal/>
    </border>
    <border>
      <left/>
      <right style="hair">
        <color theme="2" tint="-9.9948118533890809E-2"/>
      </right>
      <top/>
      <bottom style="thin">
        <color theme="6" tint="0.59996337778862885"/>
      </bottom>
      <diagonal/>
    </border>
    <border>
      <left/>
      <right style="thin">
        <color theme="6" tint="0.59996337778862885"/>
      </right>
      <top/>
      <bottom style="thin">
        <color theme="6" tint="0.59996337778862885"/>
      </bottom>
      <diagonal/>
    </border>
    <border>
      <left style="medium">
        <color theme="1" tint="0.499984740745262"/>
      </left>
      <right style="thin">
        <color theme="1"/>
      </right>
      <top style="medium">
        <color theme="1" tint="0.499984740745262"/>
      </top>
      <bottom style="dashed">
        <color theme="0" tint="-0.499984740745262"/>
      </bottom>
      <diagonal/>
    </border>
    <border>
      <left style="dashDot">
        <color auto="1"/>
      </left>
      <right style="medium">
        <color theme="1" tint="0.499984740745262"/>
      </right>
      <top style="medium">
        <color theme="1" tint="0.499984740745262"/>
      </top>
      <bottom style="dashed">
        <color theme="0" tint="-0.499984740745262"/>
      </bottom>
      <diagonal/>
    </border>
    <border>
      <left style="medium">
        <color theme="1" tint="0.499984740745262"/>
      </left>
      <right style="thin">
        <color theme="1"/>
      </right>
      <top style="dashed">
        <color theme="0" tint="-0.499984740745262"/>
      </top>
      <bottom style="dashed">
        <color theme="0" tint="-0.499984740745262"/>
      </bottom>
      <diagonal/>
    </border>
    <border>
      <left style="dashDot">
        <color auto="1"/>
      </left>
      <right style="medium">
        <color theme="1" tint="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medium">
        <color theme="1" tint="0.499984740745262"/>
      </left>
      <right style="thin">
        <color theme="1"/>
      </right>
      <top style="dashed">
        <color theme="0" tint="-0.499984740745262"/>
      </top>
      <bottom style="medium">
        <color theme="1" tint="0.499984740745262"/>
      </bottom>
      <diagonal/>
    </border>
    <border>
      <left style="dashDot">
        <color auto="1"/>
      </left>
      <right style="medium">
        <color theme="1" tint="0.499984740745262"/>
      </right>
      <top style="dashed">
        <color theme="0" tint="-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 style="dashDot">
        <color auto="1"/>
      </right>
      <top style="medium">
        <color theme="1" tint="0.499984740745262"/>
      </top>
      <bottom style="dashed">
        <color theme="0" tint="-0.499984740745262"/>
      </bottom>
      <diagonal/>
    </border>
    <border>
      <left style="thin">
        <color theme="1"/>
      </left>
      <right style="medium">
        <color theme="1" tint="0.499984740745262"/>
      </right>
      <top style="medium">
        <color theme="1" tint="0.499984740745262"/>
      </top>
      <bottom style="dashed">
        <color theme="0" tint="-0.499984740745262"/>
      </bottom>
      <diagonal/>
    </border>
    <border>
      <left style="medium">
        <color theme="1" tint="0.499984740745262"/>
      </left>
      <right style="dashDot">
        <color auto="1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theme="1"/>
      </left>
      <right style="medium">
        <color theme="1" tint="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medium">
        <color theme="1" tint="0.499984740745262"/>
      </left>
      <right style="dashDot">
        <color auto="1"/>
      </right>
      <top style="dashed">
        <color theme="0" tint="-0.499984740745262"/>
      </top>
      <bottom style="medium">
        <color theme="1" tint="0.499984740745262"/>
      </bottom>
      <diagonal/>
    </border>
    <border>
      <left style="thin">
        <color theme="1"/>
      </left>
      <right style="medium">
        <color theme="1" tint="0.499984740745262"/>
      </right>
      <top style="dashed">
        <color theme="0" tint="-0.499984740745262"/>
      </top>
      <bottom style="medium">
        <color theme="1" tint="0.499984740745262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16">
    <xf numFmtId="0" fontId="0" fillId="0" borderId="15"/>
    <xf numFmtId="9" fontId="10" fillId="0" borderId="15">
      <alignment vertical="center"/>
    </xf>
    <xf numFmtId="41" fontId="10" fillId="0" borderId="15">
      <alignment vertical="center"/>
    </xf>
    <xf numFmtId="0" fontId="10" fillId="0" borderId="15"/>
    <xf numFmtId="0" fontId="41" fillId="0" borderId="15" applyNumberFormat="0" applyFill="0" applyBorder="0" applyAlignment="0" applyProtection="0"/>
    <xf numFmtId="0" fontId="4" fillId="0" borderId="16">
      <alignment vertical="center"/>
    </xf>
    <xf numFmtId="0" fontId="3" fillId="0" borderId="16">
      <alignment vertical="center"/>
    </xf>
    <xf numFmtId="0" fontId="2" fillId="0" borderId="16">
      <alignment vertical="center"/>
    </xf>
    <xf numFmtId="0" fontId="10" fillId="0" borderId="16"/>
    <xf numFmtId="9" fontId="10" fillId="0" borderId="16">
      <alignment vertical="center"/>
    </xf>
    <xf numFmtId="41" fontId="10" fillId="0" borderId="16">
      <alignment vertical="center"/>
    </xf>
    <xf numFmtId="0" fontId="10" fillId="0" borderId="16"/>
    <xf numFmtId="0" fontId="41" fillId="0" borderId="16" applyNumberFormat="0" applyFill="0" applyBorder="0" applyAlignment="0" applyProtection="0"/>
    <xf numFmtId="0" fontId="1" fillId="0" borderId="16">
      <alignment vertical="center"/>
    </xf>
    <xf numFmtId="0" fontId="1" fillId="0" borderId="16">
      <alignment vertical="center"/>
    </xf>
    <xf numFmtId="0" fontId="1" fillId="0" borderId="16">
      <alignment vertical="center"/>
    </xf>
  </cellStyleXfs>
  <cellXfs count="442">
    <xf numFmtId="0" fontId="0" fillId="0" borderId="0" xfId="0" applyBorder="1"/>
    <xf numFmtId="0" fontId="5" fillId="0" borderId="0" xfId="0" applyFont="1" applyBorder="1"/>
    <xf numFmtId="0" fontId="6" fillId="4" borderId="0" xfId="0" applyFont="1" applyFill="1" applyBorder="1" applyAlignment="1">
      <alignment horizontal="right"/>
    </xf>
    <xf numFmtId="0" fontId="6" fillId="3" borderId="0" xfId="0" applyFont="1" applyFill="1" applyBorder="1" applyAlignment="1">
      <alignment horizontal="right"/>
    </xf>
    <xf numFmtId="0" fontId="6" fillId="2" borderId="1" xfId="0" applyFont="1" applyFill="1" applyBorder="1" applyAlignment="1">
      <alignment horizontal="right"/>
    </xf>
    <xf numFmtId="0" fontId="0" fillId="2" borderId="1" xfId="0" applyFill="1" applyBorder="1"/>
    <xf numFmtId="176" fontId="0" fillId="2" borderId="1" xfId="0" applyNumberFormat="1" applyFill="1" applyBorder="1"/>
    <xf numFmtId="0" fontId="6" fillId="2" borderId="1" xfId="0" applyFont="1" applyFill="1" applyBorder="1"/>
    <xf numFmtId="0" fontId="7" fillId="0" borderId="0" xfId="0" applyFont="1" applyBorder="1"/>
    <xf numFmtId="0" fontId="10" fillId="0" borderId="2" xfId="3" applyBorder="1"/>
    <xf numFmtId="0" fontId="12" fillId="0" borderId="0" xfId="0" applyFont="1" applyBorder="1"/>
    <xf numFmtId="10" fontId="0" fillId="0" borderId="0" xfId="0" applyNumberFormat="1" applyBorder="1"/>
    <xf numFmtId="10" fontId="10" fillId="0" borderId="2" xfId="1" applyNumberFormat="1" applyBorder="1">
      <alignment vertical="center"/>
    </xf>
    <xf numFmtId="178" fontId="10" fillId="0" borderId="2" xfId="1" applyNumberFormat="1" applyBorder="1">
      <alignment vertical="center"/>
    </xf>
    <xf numFmtId="0" fontId="10" fillId="0" borderId="4" xfId="3" applyBorder="1"/>
    <xf numFmtId="0" fontId="10" fillId="0" borderId="5" xfId="3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8" xfId="0" applyBorder="1"/>
    <xf numFmtId="178" fontId="0" fillId="0" borderId="2" xfId="0" applyNumberFormat="1" applyBorder="1"/>
    <xf numFmtId="0" fontId="0" fillId="0" borderId="9" xfId="0" applyBorder="1"/>
    <xf numFmtId="0" fontId="0" fillId="0" borderId="10" xfId="0" applyBorder="1"/>
    <xf numFmtId="178" fontId="10" fillId="0" borderId="10" xfId="1" applyNumberFormat="1" applyBorder="1">
      <alignment vertical="center"/>
    </xf>
    <xf numFmtId="0" fontId="0" fillId="0" borderId="11" xfId="0" applyBorder="1"/>
    <xf numFmtId="0" fontId="0" fillId="0" borderId="4" xfId="0" applyBorder="1"/>
    <xf numFmtId="0" fontId="12" fillId="0" borderId="9" xfId="0" applyFont="1" applyBorder="1"/>
    <xf numFmtId="0" fontId="12" fillId="0" borderId="10" xfId="0" applyFont="1" applyBorder="1"/>
    <xf numFmtId="0" fontId="12" fillId="0" borderId="11" xfId="0" applyFont="1" applyBorder="1"/>
    <xf numFmtId="0" fontId="13" fillId="0" borderId="16" xfId="0" applyFont="1" applyBorder="1"/>
    <xf numFmtId="0" fontId="15" fillId="7" borderId="17" xfId="0" applyFont="1" applyFill="1" applyBorder="1" applyAlignment="1">
      <alignment horizontal="center"/>
    </xf>
    <xf numFmtId="0" fontId="13" fillId="0" borderId="17" xfId="0" applyFont="1" applyBorder="1"/>
    <xf numFmtId="180" fontId="13" fillId="0" borderId="17" xfId="0" applyNumberFormat="1" applyFont="1" applyBorder="1" applyAlignment="1">
      <alignment horizontal="right"/>
    </xf>
    <xf numFmtId="177" fontId="13" fillId="0" borderId="17" xfId="0" applyNumberFormat="1" applyFont="1" applyBorder="1" applyAlignment="1">
      <alignment horizontal="right"/>
    </xf>
    <xf numFmtId="49" fontId="13" fillId="0" borderId="17" xfId="0" applyNumberFormat="1" applyFont="1" applyBorder="1" applyAlignment="1">
      <alignment horizontal="right"/>
    </xf>
    <xf numFmtId="0" fontId="13" fillId="8" borderId="17" xfId="0" applyFont="1" applyFill="1" applyBorder="1" applyAlignment="1">
      <alignment horizontal="center"/>
    </xf>
    <xf numFmtId="0" fontId="13" fillId="0" borderId="16" xfId="1" applyNumberFormat="1" applyFont="1" applyBorder="1" applyAlignment="1"/>
    <xf numFmtId="0" fontId="13" fillId="0" borderId="16" xfId="2" applyNumberFormat="1" applyFont="1" applyBorder="1" applyAlignment="1"/>
    <xf numFmtId="3" fontId="13" fillId="0" borderId="17" xfId="0" applyNumberFormat="1" applyFont="1" applyBorder="1" applyAlignment="1">
      <alignment horizontal="right"/>
    </xf>
    <xf numFmtId="2" fontId="13" fillId="0" borderId="17" xfId="0" applyNumberFormat="1" applyFont="1" applyBorder="1" applyAlignment="1">
      <alignment horizontal="right"/>
    </xf>
    <xf numFmtId="4" fontId="13" fillId="0" borderId="17" xfId="0" applyNumberFormat="1" applyFont="1" applyBorder="1" applyAlignment="1">
      <alignment horizontal="right"/>
    </xf>
    <xf numFmtId="10" fontId="10" fillId="0" borderId="16" xfId="1" applyNumberFormat="1" applyBorder="1">
      <alignment vertical="center"/>
    </xf>
    <xf numFmtId="181" fontId="0" fillId="0" borderId="0" xfId="0" applyNumberFormat="1" applyBorder="1"/>
    <xf numFmtId="41" fontId="10" fillId="0" borderId="16" xfId="2" applyBorder="1">
      <alignment vertical="center"/>
    </xf>
    <xf numFmtId="182" fontId="10" fillId="0" borderId="16" xfId="2" applyNumberFormat="1" applyBorder="1">
      <alignment vertical="center"/>
    </xf>
    <xf numFmtId="0" fontId="16" fillId="0" borderId="0" xfId="0" applyFont="1" applyBorder="1"/>
    <xf numFmtId="0" fontId="0" fillId="0" borderId="0" xfId="0" applyBorder="1" applyAlignment="1">
      <alignment horizontal="right"/>
    </xf>
    <xf numFmtId="0" fontId="13" fillId="0" borderId="16" xfId="0" applyFont="1" applyBorder="1" applyAlignment="1">
      <alignment horizontal="right"/>
    </xf>
    <xf numFmtId="10" fontId="13" fillId="0" borderId="16" xfId="0" applyNumberFormat="1" applyFont="1" applyBorder="1" applyAlignment="1">
      <alignment horizontal="right"/>
    </xf>
    <xf numFmtId="3" fontId="0" fillId="0" borderId="0" xfId="0" applyNumberFormat="1" applyBorder="1"/>
    <xf numFmtId="4" fontId="0" fillId="0" borderId="0" xfId="0" applyNumberFormat="1" applyBorder="1"/>
    <xf numFmtId="10" fontId="10" fillId="5" borderId="16" xfId="1" applyNumberFormat="1" applyFill="1" applyBorder="1">
      <alignment vertical="center"/>
    </xf>
    <xf numFmtId="3" fontId="12" fillId="9" borderId="0" xfId="0" applyNumberFormat="1" applyFont="1" applyFill="1" applyBorder="1"/>
    <xf numFmtId="0" fontId="16" fillId="0" borderId="16" xfId="0" applyFont="1" applyBorder="1"/>
    <xf numFmtId="0" fontId="16" fillId="0" borderId="0" xfId="0" applyFont="1" applyBorder="1" applyAlignment="1">
      <alignment vertical="center"/>
    </xf>
    <xf numFmtId="0" fontId="16" fillId="0" borderId="16" xfId="0" applyFont="1" applyBorder="1" applyAlignment="1">
      <alignment vertical="center"/>
    </xf>
    <xf numFmtId="178" fontId="10" fillId="0" borderId="16" xfId="1" applyNumberFormat="1" applyBorder="1">
      <alignment vertical="center"/>
    </xf>
    <xf numFmtId="179" fontId="10" fillId="0" borderId="16" xfId="1" applyNumberFormat="1" applyBorder="1">
      <alignment vertical="center"/>
    </xf>
    <xf numFmtId="0" fontId="0" fillId="0" borderId="16" xfId="0" applyBorder="1"/>
    <xf numFmtId="3" fontId="0" fillId="0" borderId="16" xfId="0" applyNumberFormat="1" applyBorder="1"/>
    <xf numFmtId="0" fontId="18" fillId="10" borderId="0" xfId="0" applyFont="1" applyFill="1" applyBorder="1" applyAlignment="1">
      <alignment horizontal="right"/>
    </xf>
    <xf numFmtId="0" fontId="13" fillId="0" borderId="16" xfId="0" applyFont="1" applyBorder="1" applyAlignment="1">
      <alignment horizontal="left"/>
    </xf>
    <xf numFmtId="0" fontId="20" fillId="0" borderId="16" xfId="0" applyFont="1" applyBorder="1"/>
    <xf numFmtId="0" fontId="19" fillId="0" borderId="16" xfId="0" applyFont="1" applyBorder="1" applyAlignment="1">
      <alignment horizontal="right"/>
    </xf>
    <xf numFmtId="10" fontId="10" fillId="0" borderId="16" xfId="1" applyNumberFormat="1" applyBorder="1" applyAlignment="1">
      <alignment horizontal="center" vertical="center"/>
    </xf>
    <xf numFmtId="0" fontId="16" fillId="0" borderId="16" xfId="0" applyFont="1" applyBorder="1" applyAlignment="1">
      <alignment shrinkToFit="1"/>
    </xf>
    <xf numFmtId="183" fontId="10" fillId="0" borderId="16" xfId="2" applyNumberFormat="1" applyBorder="1" applyAlignment="1">
      <alignment vertical="center" shrinkToFit="1"/>
    </xf>
    <xf numFmtId="41" fontId="10" fillId="0" borderId="16" xfId="2" applyBorder="1" applyAlignment="1">
      <alignment vertical="center" shrinkToFit="1"/>
    </xf>
    <xf numFmtId="0" fontId="21" fillId="0" borderId="0" xfId="0" applyFont="1" applyBorder="1"/>
    <xf numFmtId="0" fontId="21" fillId="0" borderId="16" xfId="0" applyFont="1" applyBorder="1"/>
    <xf numFmtId="10" fontId="10" fillId="0" borderId="16" xfId="1" applyNumberFormat="1" applyBorder="1" applyAlignment="1">
      <alignment horizontal="right" vertical="center"/>
    </xf>
    <xf numFmtId="0" fontId="16" fillId="0" borderId="12" xfId="0" applyFont="1" applyBorder="1"/>
    <xf numFmtId="0" fontId="16" fillId="0" borderId="4" xfId="0" applyFont="1" applyBorder="1"/>
    <xf numFmtId="0" fontId="16" fillId="0" borderId="3" xfId="0" applyFont="1" applyBorder="1"/>
    <xf numFmtId="10" fontId="10" fillId="0" borderId="3" xfId="1" applyNumberFormat="1" applyBorder="1">
      <alignment vertical="center"/>
    </xf>
    <xf numFmtId="0" fontId="0" fillId="0" borderId="20" xfId="0" applyBorder="1"/>
    <xf numFmtId="43" fontId="16" fillId="0" borderId="16" xfId="0" applyNumberFormat="1" applyFont="1" applyBorder="1"/>
    <xf numFmtId="186" fontId="26" fillId="0" borderId="21" xfId="2" applyNumberFormat="1" applyFont="1" applyBorder="1" applyAlignment="1">
      <alignment vertical="center" shrinkToFit="1"/>
    </xf>
    <xf numFmtId="186" fontId="26" fillId="0" borderId="22" xfId="2" applyNumberFormat="1" applyFont="1" applyBorder="1" applyAlignment="1">
      <alignment vertical="center" shrinkToFit="1"/>
    </xf>
    <xf numFmtId="41" fontId="30" fillId="0" borderId="16" xfId="2" applyFont="1" applyBorder="1" applyAlignment="1">
      <alignment vertical="center" shrinkToFit="1"/>
    </xf>
    <xf numFmtId="187" fontId="35" fillId="12" borderId="18" xfId="2" applyNumberFormat="1" applyFont="1" applyFill="1" applyBorder="1" applyAlignment="1">
      <alignment vertical="center" shrinkToFit="1"/>
    </xf>
    <xf numFmtId="0" fontId="16" fillId="0" borderId="16" xfId="0" applyFont="1" applyBorder="1" applyAlignment="1">
      <alignment vertical="center" shrinkToFit="1"/>
    </xf>
    <xf numFmtId="0" fontId="16" fillId="0" borderId="0" xfId="0" applyFont="1" applyBorder="1" applyAlignment="1">
      <alignment vertical="center" shrinkToFit="1"/>
    </xf>
    <xf numFmtId="178" fontId="10" fillId="0" borderId="16" xfId="1" applyNumberFormat="1" applyBorder="1" applyAlignment="1">
      <alignment vertical="center" shrinkToFit="1"/>
    </xf>
    <xf numFmtId="0" fontId="33" fillId="0" borderId="16" xfId="0" applyFont="1" applyBorder="1" applyAlignment="1">
      <alignment horizontal="right" vertical="center" shrinkToFit="1"/>
    </xf>
    <xf numFmtId="0" fontId="34" fillId="0" borderId="16" xfId="0" applyFont="1" applyBorder="1" applyAlignment="1">
      <alignment vertical="center" shrinkToFit="1"/>
    </xf>
    <xf numFmtId="0" fontId="20" fillId="0" borderId="16" xfId="0" applyFont="1" applyBorder="1" applyAlignment="1">
      <alignment vertical="center" shrinkToFit="1"/>
    </xf>
    <xf numFmtId="0" fontId="21" fillId="0" borderId="24" xfId="0" applyFont="1" applyBorder="1" applyAlignment="1">
      <alignment horizontal="center" vertical="center" shrinkToFit="1"/>
    </xf>
    <xf numFmtId="10" fontId="33" fillId="0" borderId="24" xfId="0" applyNumberFormat="1" applyFont="1" applyBorder="1" applyAlignment="1">
      <alignment vertical="center" shrinkToFit="1"/>
    </xf>
    <xf numFmtId="0" fontId="21" fillId="0" borderId="25" xfId="0" applyFont="1" applyBorder="1" applyAlignment="1">
      <alignment horizontal="center" vertical="center" shrinkToFit="1"/>
    </xf>
    <xf numFmtId="10" fontId="33" fillId="0" borderId="26" xfId="0" applyNumberFormat="1" applyFont="1" applyBorder="1" applyAlignment="1">
      <alignment vertical="center" shrinkToFit="1"/>
    </xf>
    <xf numFmtId="3" fontId="16" fillId="0" borderId="0" xfId="0" applyNumberFormat="1" applyFont="1" applyBorder="1" applyAlignment="1">
      <alignment vertical="center" shrinkToFit="1"/>
    </xf>
    <xf numFmtId="187" fontId="26" fillId="0" borderId="31" xfId="2" applyNumberFormat="1" applyFont="1" applyBorder="1" applyAlignment="1">
      <alignment vertical="center" shrinkToFit="1"/>
    </xf>
    <xf numFmtId="187" fontId="35" fillId="12" borderId="32" xfId="2" applyNumberFormat="1" applyFont="1" applyFill="1" applyBorder="1" applyAlignment="1">
      <alignment vertical="center" shrinkToFit="1"/>
    </xf>
    <xf numFmtId="0" fontId="37" fillId="0" borderId="0" xfId="0" applyFont="1" applyBorder="1" applyAlignment="1">
      <alignment horizontal="left" vertical="center"/>
    </xf>
    <xf numFmtId="0" fontId="10" fillId="0" borderId="16" xfId="3" applyBorder="1"/>
    <xf numFmtId="20" fontId="10" fillId="0" borderId="2" xfId="3" applyNumberFormat="1" applyBorder="1"/>
    <xf numFmtId="20" fontId="0" fillId="0" borderId="0" xfId="0" applyNumberFormat="1" applyBorder="1"/>
    <xf numFmtId="4" fontId="12" fillId="0" borderId="0" xfId="0" applyNumberFormat="1" applyFont="1" applyBorder="1"/>
    <xf numFmtId="0" fontId="30" fillId="0" borderId="0" xfId="0" applyFont="1" applyBorder="1"/>
    <xf numFmtId="41" fontId="23" fillId="0" borderId="16" xfId="2" applyFont="1" applyBorder="1">
      <alignment vertical="center"/>
    </xf>
    <xf numFmtId="41" fontId="30" fillId="0" borderId="16" xfId="2" applyFont="1" applyBorder="1">
      <alignment vertical="center"/>
    </xf>
    <xf numFmtId="3" fontId="23" fillId="0" borderId="0" xfId="0" applyNumberFormat="1" applyFont="1" applyBorder="1"/>
    <xf numFmtId="0" fontId="23" fillId="0" borderId="0" xfId="0" applyFont="1" applyBorder="1"/>
    <xf numFmtId="4" fontId="23" fillId="0" borderId="0" xfId="0" applyNumberFormat="1" applyFont="1" applyBorder="1"/>
    <xf numFmtId="0" fontId="34" fillId="0" borderId="16" xfId="0" applyFont="1" applyBorder="1" applyAlignment="1">
      <alignment horizontal="right" vertical="center" shrinkToFit="1"/>
    </xf>
    <xf numFmtId="10" fontId="13" fillId="0" borderId="16" xfId="0" applyNumberFormat="1" applyFont="1" applyBorder="1"/>
    <xf numFmtId="0" fontId="30" fillId="0" borderId="0" xfId="0" applyFont="1" applyBorder="1" applyAlignment="1">
      <alignment horizontal="left"/>
    </xf>
    <xf numFmtId="0" fontId="22" fillId="11" borderId="36" xfId="0" applyFont="1" applyFill="1" applyBorder="1" applyAlignment="1">
      <alignment vertical="center" shrinkToFit="1"/>
    </xf>
    <xf numFmtId="0" fontId="22" fillId="11" borderId="37" xfId="0" applyFont="1" applyFill="1" applyBorder="1" applyAlignment="1">
      <alignment vertical="center" shrinkToFit="1"/>
    </xf>
    <xf numFmtId="0" fontId="22" fillId="11" borderId="38" xfId="0" applyFont="1" applyFill="1" applyBorder="1" applyAlignment="1">
      <alignment vertical="center" shrinkToFit="1"/>
    </xf>
    <xf numFmtId="10" fontId="28" fillId="0" borderId="40" xfId="0" applyNumberFormat="1" applyFont="1" applyBorder="1" applyAlignment="1">
      <alignment vertical="center" shrinkToFit="1"/>
    </xf>
    <xf numFmtId="179" fontId="23" fillId="0" borderId="50" xfId="0" applyNumberFormat="1" applyFont="1" applyBorder="1" applyAlignment="1">
      <alignment vertical="center" shrinkToFit="1"/>
    </xf>
    <xf numFmtId="185" fontId="32" fillId="0" borderId="51" xfId="2" applyNumberFormat="1" applyFont="1" applyBorder="1" applyAlignment="1">
      <alignment vertical="center" shrinkToFit="1"/>
    </xf>
    <xf numFmtId="41" fontId="21" fillId="0" borderId="52" xfId="2" applyFont="1" applyBorder="1" applyAlignment="1">
      <alignment vertical="center" shrinkToFit="1"/>
    </xf>
    <xf numFmtId="0" fontId="20" fillId="0" borderId="16" xfId="0" quotePrefix="1" applyFont="1" applyBorder="1" applyAlignment="1">
      <alignment horizontal="left" vertical="center"/>
    </xf>
    <xf numFmtId="10" fontId="33" fillId="0" borderId="25" xfId="0" applyNumberFormat="1" applyFont="1" applyBorder="1" applyAlignment="1">
      <alignment vertical="center" shrinkToFit="1"/>
    </xf>
    <xf numFmtId="0" fontId="21" fillId="0" borderId="23" xfId="0" applyFont="1" applyBorder="1" applyAlignment="1">
      <alignment vertical="center" shrinkToFit="1"/>
    </xf>
    <xf numFmtId="10" fontId="33" fillId="0" borderId="23" xfId="0" applyNumberFormat="1" applyFont="1" applyBorder="1" applyAlignment="1">
      <alignment vertical="center" shrinkToFit="1"/>
    </xf>
    <xf numFmtId="0" fontId="0" fillId="0" borderId="3" xfId="0" applyBorder="1"/>
    <xf numFmtId="0" fontId="0" fillId="0" borderId="12" xfId="0" applyBorder="1"/>
    <xf numFmtId="0" fontId="0" fillId="5" borderId="0" xfId="0" applyFill="1" applyBorder="1"/>
    <xf numFmtId="0" fontId="0" fillId="0" borderId="0" xfId="0" applyBorder="1" applyAlignment="1">
      <alignment horizontal="left"/>
    </xf>
    <xf numFmtId="0" fontId="25" fillId="13" borderId="27" xfId="0" quotePrefix="1" applyFont="1" applyFill="1" applyBorder="1" applyAlignment="1">
      <alignment horizontal="right" vertical="center" shrinkToFit="1"/>
    </xf>
    <xf numFmtId="0" fontId="21" fillId="0" borderId="16" xfId="0" quotePrefix="1" applyFont="1" applyBorder="1"/>
    <xf numFmtId="0" fontId="16" fillId="0" borderId="9" xfId="0" applyFont="1" applyBorder="1"/>
    <xf numFmtId="192" fontId="10" fillId="0" borderId="16" xfId="1" applyNumberFormat="1" applyBorder="1">
      <alignment vertical="center"/>
    </xf>
    <xf numFmtId="43" fontId="16" fillId="0" borderId="0" xfId="0" applyNumberFormat="1" applyFont="1" applyBorder="1"/>
    <xf numFmtId="0" fontId="41" fillId="0" borderId="0" xfId="4" applyBorder="1"/>
    <xf numFmtId="3" fontId="13" fillId="0" borderId="17" xfId="1" applyNumberFormat="1" applyFont="1" applyBorder="1" applyAlignment="1">
      <alignment horizontal="right"/>
    </xf>
    <xf numFmtId="0" fontId="19" fillId="0" borderId="16" xfId="0" applyFont="1" applyBorder="1"/>
    <xf numFmtId="0" fontId="19" fillId="0" borderId="16" xfId="0" applyFont="1" applyBorder="1" applyAlignment="1">
      <alignment vertical="center"/>
    </xf>
    <xf numFmtId="189" fontId="19" fillId="0" borderId="16" xfId="0" applyNumberFormat="1" applyFont="1" applyBorder="1"/>
    <xf numFmtId="0" fontId="19" fillId="0" borderId="0" xfId="0" applyFont="1" applyBorder="1" applyAlignment="1">
      <alignment vertical="center" shrinkToFit="1"/>
    </xf>
    <xf numFmtId="43" fontId="19" fillId="0" borderId="0" xfId="0" applyNumberFormat="1" applyFont="1" applyBorder="1" applyAlignment="1">
      <alignment vertical="center" shrinkToFit="1"/>
    </xf>
    <xf numFmtId="10" fontId="10" fillId="0" borderId="16" xfId="1" quotePrefix="1" applyNumberFormat="1" applyBorder="1" applyAlignment="1">
      <alignment horizontal="left" vertical="center"/>
    </xf>
    <xf numFmtId="191" fontId="16" fillId="0" borderId="0" xfId="0" applyNumberFormat="1" applyFont="1" applyBorder="1" applyAlignment="1">
      <alignment shrinkToFit="1"/>
    </xf>
    <xf numFmtId="0" fontId="40" fillId="22" borderId="16" xfId="1" applyNumberFormat="1" applyFont="1" applyFill="1" applyBorder="1" applyAlignment="1"/>
    <xf numFmtId="0" fontId="40" fillId="22" borderId="16" xfId="0" applyFont="1" applyFill="1" applyBorder="1"/>
    <xf numFmtId="0" fontId="40" fillId="22" borderId="16" xfId="2" applyNumberFormat="1" applyFont="1" applyFill="1" applyBorder="1" applyAlignment="1"/>
    <xf numFmtId="10" fontId="39" fillId="22" borderId="16" xfId="1" applyNumberFormat="1" applyFont="1" applyFill="1" applyBorder="1">
      <alignment vertical="center"/>
    </xf>
    <xf numFmtId="0" fontId="46" fillId="22" borderId="16" xfId="0" applyFont="1" applyFill="1" applyBorder="1"/>
    <xf numFmtId="10" fontId="10" fillId="22" borderId="16" xfId="1" applyNumberFormat="1" applyFill="1" applyBorder="1">
      <alignment vertical="center"/>
    </xf>
    <xf numFmtId="0" fontId="6" fillId="22" borderId="54" xfId="0" applyFont="1" applyFill="1" applyBorder="1" applyAlignment="1">
      <alignment horizontal="right"/>
    </xf>
    <xf numFmtId="21" fontId="12" fillId="22" borderId="55" xfId="0" applyNumberFormat="1" applyFont="1" applyFill="1" applyBorder="1" applyAlignment="1">
      <alignment horizontal="right"/>
    </xf>
    <xf numFmtId="21" fontId="6" fillId="22" borderId="56" xfId="0" applyNumberFormat="1" applyFont="1" applyFill="1" applyBorder="1" applyAlignment="1">
      <alignment horizontal="right"/>
    </xf>
    <xf numFmtId="4" fontId="8" fillId="4" borderId="57" xfId="0" applyNumberFormat="1" applyFont="1" applyFill="1" applyBorder="1"/>
    <xf numFmtId="0" fontId="9" fillId="3" borderId="0" xfId="0" applyFont="1" applyFill="1" applyBorder="1" applyAlignment="1">
      <alignment horizontal="right"/>
    </xf>
    <xf numFmtId="10" fontId="19" fillId="0" borderId="0" xfId="0" applyNumberFormat="1" applyFont="1" applyBorder="1" applyAlignment="1">
      <alignment vertical="center" shrinkToFit="1"/>
    </xf>
    <xf numFmtId="187" fontId="12" fillId="5" borderId="58" xfId="0" applyNumberFormat="1" applyFont="1" applyFill="1" applyBorder="1" applyAlignment="1">
      <alignment vertical="center" shrinkToFit="1"/>
    </xf>
    <xf numFmtId="0" fontId="21" fillId="0" borderId="16" xfId="0" applyFont="1" applyBorder="1" applyAlignment="1">
      <alignment vertical="center"/>
    </xf>
    <xf numFmtId="0" fontId="48" fillId="0" borderId="0" xfId="0" applyFont="1" applyBorder="1"/>
    <xf numFmtId="0" fontId="47" fillId="5" borderId="16" xfId="0" applyFont="1" applyFill="1" applyBorder="1"/>
    <xf numFmtId="0" fontId="16" fillId="5" borderId="16" xfId="0" applyFont="1" applyFill="1" applyBorder="1" applyAlignment="1">
      <alignment vertical="center"/>
    </xf>
    <xf numFmtId="0" fontId="49" fillId="0" borderId="2" xfId="3" applyFont="1" applyBorder="1" applyAlignment="1">
      <alignment vertical="center"/>
    </xf>
    <xf numFmtId="183" fontId="30" fillId="0" borderId="60" xfId="2" applyNumberFormat="1" applyFont="1" applyBorder="1">
      <alignment vertical="center"/>
    </xf>
    <xf numFmtId="192" fontId="23" fillId="16" borderId="61" xfId="1" applyNumberFormat="1" applyFont="1" applyFill="1" applyBorder="1">
      <alignment vertical="center"/>
    </xf>
    <xf numFmtId="10" fontId="0" fillId="0" borderId="3" xfId="0" applyNumberFormat="1" applyBorder="1"/>
    <xf numFmtId="9" fontId="0" fillId="0" borderId="3" xfId="0" applyNumberFormat="1" applyBorder="1"/>
    <xf numFmtId="0" fontId="0" fillId="0" borderId="13" xfId="0" applyBorder="1"/>
    <xf numFmtId="0" fontId="52" fillId="20" borderId="16" xfId="0" applyFont="1" applyFill="1" applyBorder="1"/>
    <xf numFmtId="3" fontId="13" fillId="0" borderId="16" xfId="0" applyNumberFormat="1" applyFont="1" applyBorder="1"/>
    <xf numFmtId="186" fontId="38" fillId="19" borderId="59" xfId="0" applyNumberFormat="1" applyFont="1" applyFill="1" applyBorder="1" applyAlignment="1">
      <alignment vertical="center" shrinkToFit="1"/>
    </xf>
    <xf numFmtId="191" fontId="21" fillId="23" borderId="62" xfId="0" applyNumberFormat="1" applyFont="1" applyFill="1" applyBorder="1" applyAlignment="1">
      <alignment horizontal="right" vertical="center" shrinkToFit="1"/>
    </xf>
    <xf numFmtId="187" fontId="21" fillId="0" borderId="63" xfId="0" applyNumberFormat="1" applyFont="1" applyBorder="1" applyAlignment="1">
      <alignment vertical="center" shrinkToFit="1"/>
    </xf>
    <xf numFmtId="187" fontId="21" fillId="0" borderId="64" xfId="0" applyNumberFormat="1" applyFont="1" applyBorder="1" applyAlignment="1">
      <alignment shrinkToFit="1"/>
    </xf>
    <xf numFmtId="187" fontId="21" fillId="23" borderId="62" xfId="0" applyNumberFormat="1" applyFont="1" applyFill="1" applyBorder="1" applyAlignment="1">
      <alignment horizontal="right" vertical="center" shrinkToFit="1"/>
    </xf>
    <xf numFmtId="187" fontId="21" fillId="0" borderId="63" xfId="0" applyNumberFormat="1" applyFont="1" applyBorder="1" applyAlignment="1">
      <alignment shrinkToFit="1"/>
    </xf>
    <xf numFmtId="191" fontId="21" fillId="23" borderId="65" xfId="0" applyNumberFormat="1" applyFont="1" applyFill="1" applyBorder="1" applyAlignment="1">
      <alignment horizontal="right" vertical="center" shrinkToFit="1"/>
    </xf>
    <xf numFmtId="191" fontId="21" fillId="23" borderId="66" xfId="0" applyNumberFormat="1" applyFont="1" applyFill="1" applyBorder="1" applyAlignment="1">
      <alignment horizontal="right" vertical="center" shrinkToFit="1"/>
    </xf>
    <xf numFmtId="186" fontId="21" fillId="0" borderId="68" xfId="0" applyNumberFormat="1" applyFont="1" applyBorder="1" applyAlignment="1">
      <alignment vertical="center" shrinkToFit="1"/>
    </xf>
    <xf numFmtId="186" fontId="21" fillId="0" borderId="70" xfId="0" applyNumberFormat="1" applyFont="1" applyBorder="1" applyAlignment="1">
      <alignment vertical="center" shrinkToFit="1"/>
    </xf>
    <xf numFmtId="0" fontId="50" fillId="0" borderId="16" xfId="0" applyFont="1" applyBorder="1" applyAlignment="1">
      <alignment horizontal="right" vertical="center" shrinkToFit="1"/>
    </xf>
    <xf numFmtId="0" fontId="50" fillId="0" borderId="16" xfId="0" applyFont="1" applyBorder="1" applyAlignment="1">
      <alignment horizontal="right" vertical="center"/>
    </xf>
    <xf numFmtId="186" fontId="21" fillId="0" borderId="67" xfId="0" applyNumberFormat="1" applyFont="1" applyBorder="1" applyAlignment="1">
      <alignment vertical="center" shrinkToFit="1"/>
    </xf>
    <xf numFmtId="186" fontId="21" fillId="0" borderId="69" xfId="0" applyNumberFormat="1" applyFont="1" applyBorder="1" applyAlignment="1">
      <alignment vertical="center" shrinkToFit="1"/>
    </xf>
    <xf numFmtId="183" fontId="19" fillId="0" borderId="16" xfId="2" applyNumberFormat="1" applyFont="1" applyBorder="1" applyAlignment="1">
      <alignment vertical="center" shrinkToFit="1"/>
    </xf>
    <xf numFmtId="49" fontId="13" fillId="0" borderId="17" xfId="0" applyNumberFormat="1" applyFont="1" applyBorder="1"/>
    <xf numFmtId="0" fontId="3" fillId="0" borderId="16" xfId="6">
      <alignment vertical="center"/>
    </xf>
    <xf numFmtId="0" fontId="3" fillId="0" borderId="3" xfId="6" applyBorder="1">
      <alignment vertical="center"/>
    </xf>
    <xf numFmtId="0" fontId="3" fillId="0" borderId="16" xfId="6" applyAlignment="1">
      <alignment horizontal="right" vertical="center"/>
    </xf>
    <xf numFmtId="0" fontId="12" fillId="5" borderId="16" xfId="6" applyFont="1" applyFill="1">
      <alignment vertical="center"/>
    </xf>
    <xf numFmtId="0" fontId="3" fillId="0" borderId="76" xfId="6" applyBorder="1">
      <alignment vertical="center"/>
    </xf>
    <xf numFmtId="0" fontId="3" fillId="5" borderId="16" xfId="6" applyFill="1">
      <alignment vertical="center"/>
    </xf>
    <xf numFmtId="0" fontId="3" fillId="0" borderId="7" xfId="6" applyBorder="1">
      <alignment vertical="center"/>
    </xf>
    <xf numFmtId="0" fontId="3" fillId="0" borderId="8" xfId="6" applyBorder="1">
      <alignment vertical="center"/>
    </xf>
    <xf numFmtId="0" fontId="3" fillId="0" borderId="9" xfId="6" applyBorder="1">
      <alignment vertical="center"/>
    </xf>
    <xf numFmtId="0" fontId="3" fillId="0" borderId="10" xfId="6" applyBorder="1">
      <alignment vertical="center"/>
    </xf>
    <xf numFmtId="0" fontId="3" fillId="0" borderId="11" xfId="6" applyBorder="1">
      <alignment vertical="center"/>
    </xf>
    <xf numFmtId="0" fontId="3" fillId="0" borderId="19" xfId="6" applyBorder="1">
      <alignment vertical="center"/>
    </xf>
    <xf numFmtId="0" fontId="3" fillId="0" borderId="77" xfId="6" applyBorder="1">
      <alignment vertical="center"/>
    </xf>
    <xf numFmtId="0" fontId="3" fillId="0" borderId="20" xfId="6" applyBorder="1">
      <alignment vertical="center"/>
    </xf>
    <xf numFmtId="0" fontId="3" fillId="0" borderId="14" xfId="6" applyBorder="1">
      <alignment vertical="center"/>
    </xf>
    <xf numFmtId="0" fontId="3" fillId="0" borderId="13" xfId="6" applyBorder="1">
      <alignment vertical="center"/>
    </xf>
    <xf numFmtId="0" fontId="13" fillId="0" borderId="79" xfId="0" applyFont="1" applyBorder="1"/>
    <xf numFmtId="4" fontId="13" fillId="0" borderId="80" xfId="0" applyNumberFormat="1" applyFont="1" applyBorder="1" applyAlignment="1">
      <alignment horizontal="right"/>
    </xf>
    <xf numFmtId="3" fontId="13" fillId="0" borderId="80" xfId="0" applyNumberFormat="1" applyFont="1" applyBorder="1" applyAlignment="1">
      <alignment horizontal="right"/>
    </xf>
    <xf numFmtId="0" fontId="13" fillId="0" borderId="81" xfId="0" applyFont="1" applyBorder="1"/>
    <xf numFmtId="0" fontId="13" fillId="0" borderId="82" xfId="0" applyFont="1" applyBorder="1" applyAlignment="1">
      <alignment horizontal="center"/>
    </xf>
    <xf numFmtId="0" fontId="13" fillId="0" borderId="83" xfId="0" applyFont="1" applyBorder="1" applyAlignment="1">
      <alignment horizontal="center"/>
    </xf>
    <xf numFmtId="0" fontId="13" fillId="0" borderId="83" xfId="0" applyFont="1" applyBorder="1"/>
    <xf numFmtId="0" fontId="55" fillId="24" borderId="78" xfId="0" applyFont="1" applyFill="1" applyBorder="1" applyAlignment="1">
      <alignment horizontal="center"/>
    </xf>
    <xf numFmtId="10" fontId="10" fillId="0" borderId="84" xfId="1" applyNumberFormat="1" applyBorder="1">
      <alignment vertical="center"/>
    </xf>
    <xf numFmtId="49" fontId="13" fillId="0" borderId="16" xfId="0" applyNumberFormat="1" applyFont="1" applyBorder="1" applyAlignment="1">
      <alignment horizontal="right"/>
    </xf>
    <xf numFmtId="0" fontId="0" fillId="0" borderId="19" xfId="0" applyBorder="1"/>
    <xf numFmtId="0" fontId="0" fillId="0" borderId="3" xfId="0" quotePrefix="1" applyBorder="1"/>
    <xf numFmtId="0" fontId="0" fillId="5" borderId="3" xfId="0" applyFill="1" applyBorder="1"/>
    <xf numFmtId="0" fontId="12" fillId="5" borderId="3" xfId="0" applyFont="1" applyFill="1" applyBorder="1"/>
    <xf numFmtId="0" fontId="0" fillId="0" borderId="77" xfId="0" applyBorder="1"/>
    <xf numFmtId="20" fontId="0" fillId="0" borderId="20" xfId="0" applyNumberFormat="1" applyBorder="1"/>
    <xf numFmtId="0" fontId="0" fillId="5" borderId="16" xfId="0" applyFill="1" applyBorder="1"/>
    <xf numFmtId="0" fontId="0" fillId="0" borderId="16" xfId="0" applyBorder="1" applyAlignment="1">
      <alignment horizontal="right"/>
    </xf>
    <xf numFmtId="0" fontId="26" fillId="0" borderId="4" xfId="0" applyFont="1" applyBorder="1"/>
    <xf numFmtId="0" fontId="0" fillId="5" borderId="7" xfId="0" applyFill="1" applyBorder="1"/>
    <xf numFmtId="0" fontId="0" fillId="18" borderId="16" xfId="0" applyFill="1" applyBorder="1"/>
    <xf numFmtId="0" fontId="0" fillId="0" borderId="16" xfId="0" quotePrefix="1" applyBorder="1"/>
    <xf numFmtId="0" fontId="19" fillId="0" borderId="16" xfId="0" applyFont="1" applyBorder="1" applyAlignment="1">
      <alignment vertical="center" shrinkToFit="1"/>
    </xf>
    <xf numFmtId="0" fontId="21" fillId="0" borderId="26" xfId="0" applyFont="1" applyBorder="1" applyAlignment="1">
      <alignment horizontal="center" vertical="center" shrinkToFit="1"/>
    </xf>
    <xf numFmtId="0" fontId="12" fillId="0" borderId="4" xfId="0" applyFont="1" applyBorder="1"/>
    <xf numFmtId="0" fontId="12" fillId="0" borderId="5" xfId="0" applyFont="1" applyBorder="1"/>
    <xf numFmtId="0" fontId="0" fillId="25" borderId="85" xfId="0" applyFill="1" applyBorder="1"/>
    <xf numFmtId="0" fontId="0" fillId="25" borderId="86" xfId="0" applyFill="1" applyBorder="1"/>
    <xf numFmtId="0" fontId="0" fillId="25" borderId="87" xfId="0" applyFill="1" applyBorder="1"/>
    <xf numFmtId="0" fontId="56" fillId="0" borderId="16" xfId="0" applyFont="1" applyBorder="1"/>
    <xf numFmtId="0" fontId="57" fillId="0" borderId="16" xfId="0" applyFont="1" applyBorder="1"/>
    <xf numFmtId="41" fontId="57" fillId="0" borderId="16" xfId="2" applyFont="1" applyBorder="1">
      <alignment vertical="center"/>
    </xf>
    <xf numFmtId="0" fontId="52" fillId="20" borderId="7" xfId="0" applyFont="1" applyFill="1" applyBorder="1"/>
    <xf numFmtId="0" fontId="12" fillId="0" borderId="16" xfId="0" applyFont="1" applyBorder="1"/>
    <xf numFmtId="0" fontId="21" fillId="23" borderId="3" xfId="0" quotePrefix="1" applyFont="1" applyFill="1" applyBorder="1"/>
    <xf numFmtId="0" fontId="58" fillId="0" borderId="16" xfId="0" applyFont="1" applyBorder="1"/>
    <xf numFmtId="0" fontId="59" fillId="0" borderId="16" xfId="0" applyFont="1" applyBorder="1"/>
    <xf numFmtId="0" fontId="0" fillId="0" borderId="13" xfId="0" quotePrefix="1" applyBorder="1"/>
    <xf numFmtId="0" fontId="0" fillId="0" borderId="3" xfId="0" applyBorder="1" applyAlignment="1">
      <alignment horizontal="center"/>
    </xf>
    <xf numFmtId="0" fontId="61" fillId="0" borderId="16" xfId="0" applyFont="1" applyBorder="1"/>
    <xf numFmtId="0" fontId="61" fillId="0" borderId="8" xfId="0" applyFont="1" applyBorder="1"/>
    <xf numFmtId="0" fontId="61" fillId="0" borderId="10" xfId="0" applyFont="1" applyBorder="1"/>
    <xf numFmtId="0" fontId="61" fillId="0" borderId="11" xfId="0" applyFont="1" applyBorder="1"/>
    <xf numFmtId="0" fontId="30" fillId="0" borderId="16" xfId="0" applyFont="1" applyBorder="1"/>
    <xf numFmtId="21" fontId="0" fillId="0" borderId="3" xfId="0" applyNumberFormat="1" applyBorder="1"/>
    <xf numFmtId="0" fontId="0" fillId="0" borderId="16" xfId="0" applyBorder="1" applyAlignment="1">
      <alignment horizontal="left"/>
    </xf>
    <xf numFmtId="0" fontId="62" fillId="0" borderId="16" xfId="0" applyFont="1" applyBorder="1"/>
    <xf numFmtId="0" fontId="54" fillId="0" borderId="19" xfId="0" applyFont="1" applyBorder="1"/>
    <xf numFmtId="41" fontId="10" fillId="0" borderId="3" xfId="2" applyBorder="1">
      <alignment vertical="center"/>
    </xf>
    <xf numFmtId="0" fontId="12" fillId="5" borderId="16" xfId="0" applyFont="1" applyFill="1" applyBorder="1"/>
    <xf numFmtId="0" fontId="16" fillId="0" borderId="5" xfId="0" applyFont="1" applyBorder="1"/>
    <xf numFmtId="0" fontId="16" fillId="0" borderId="6" xfId="0" applyFont="1" applyBorder="1"/>
    <xf numFmtId="0" fontId="16" fillId="0" borderId="19" xfId="0" applyFont="1" applyBorder="1"/>
    <xf numFmtId="0" fontId="16" fillId="0" borderId="77" xfId="0" applyFont="1" applyBorder="1"/>
    <xf numFmtId="0" fontId="16" fillId="0" borderId="20" xfId="0" applyFont="1" applyBorder="1"/>
    <xf numFmtId="0" fontId="0" fillId="5" borderId="16" xfId="0" quotePrefix="1" applyFill="1" applyBorder="1"/>
    <xf numFmtId="0" fontId="0" fillId="0" borderId="0" xfId="0" quotePrefix="1" applyBorder="1"/>
    <xf numFmtId="0" fontId="0" fillId="0" borderId="0" xfId="0" quotePrefix="1" applyBorder="1" applyAlignment="1">
      <alignment horizontal="left"/>
    </xf>
    <xf numFmtId="0" fontId="36" fillId="0" borderId="16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 shrinkToFit="1"/>
    </xf>
    <xf numFmtId="0" fontId="20" fillId="0" borderId="16" xfId="0" applyFont="1" applyBorder="1" applyAlignment="1">
      <alignment horizontal="center" vertical="center"/>
    </xf>
    <xf numFmtId="41" fontId="10" fillId="27" borderId="3" xfId="2" applyFill="1" applyBorder="1">
      <alignment vertical="center"/>
    </xf>
    <xf numFmtId="0" fontId="0" fillId="27" borderId="3" xfId="0" applyFill="1" applyBorder="1"/>
    <xf numFmtId="41" fontId="0" fillId="27" borderId="3" xfId="0" applyNumberFormat="1" applyFill="1" applyBorder="1"/>
    <xf numFmtId="10" fontId="0" fillId="0" borderId="16" xfId="0" applyNumberFormat="1" applyBorder="1"/>
    <xf numFmtId="187" fontId="63" fillId="17" borderId="53" xfId="2" applyNumberFormat="1" applyFont="1" applyFill="1" applyBorder="1" applyAlignment="1">
      <alignment vertical="center" shrinkToFit="1"/>
    </xf>
    <xf numFmtId="10" fontId="64" fillId="5" borderId="39" xfId="1" applyNumberFormat="1" applyFont="1" applyFill="1" applyBorder="1" applyAlignment="1">
      <alignment horizontal="right" vertical="center" shrinkToFit="1"/>
    </xf>
    <xf numFmtId="10" fontId="64" fillId="14" borderId="39" xfId="1" applyNumberFormat="1" applyFont="1" applyFill="1" applyBorder="1" applyAlignment="1">
      <alignment horizontal="right" vertical="center" shrinkToFit="1"/>
    </xf>
    <xf numFmtId="10" fontId="65" fillId="0" borderId="40" xfId="0" applyNumberFormat="1" applyFont="1" applyBorder="1" applyAlignment="1">
      <alignment vertical="center" shrinkToFit="1"/>
    </xf>
    <xf numFmtId="41" fontId="38" fillId="18" borderId="33" xfId="2" quotePrefix="1" applyFont="1" applyFill="1" applyBorder="1" applyAlignment="1">
      <alignment horizontal="right" vertical="center" shrinkToFit="1"/>
    </xf>
    <xf numFmtId="41" fontId="38" fillId="18" borderId="28" xfId="2" quotePrefix="1" applyFont="1" applyFill="1" applyBorder="1" applyAlignment="1">
      <alignment horizontal="right" vertical="center" shrinkToFit="1"/>
    </xf>
    <xf numFmtId="41" fontId="38" fillId="18" borderId="29" xfId="2" quotePrefix="1" applyFont="1" applyFill="1" applyBorder="1" applyAlignment="1">
      <alignment horizontal="left" vertical="center" shrinkToFit="1"/>
    </xf>
    <xf numFmtId="2" fontId="16" fillId="0" borderId="16" xfId="0" applyNumberFormat="1" applyFont="1" applyBorder="1"/>
    <xf numFmtId="0" fontId="67" fillId="0" borderId="16" xfId="0" applyFont="1" applyBorder="1" applyAlignment="1">
      <alignment horizontal="right" vertical="center" shrinkToFit="1"/>
    </xf>
    <xf numFmtId="3" fontId="19" fillId="0" borderId="23" xfId="0" applyNumberFormat="1" applyFont="1" applyBorder="1" applyAlignment="1">
      <alignment vertical="center"/>
    </xf>
    <xf numFmtId="4" fontId="31" fillId="14" borderId="89" xfId="0" applyNumberFormat="1" applyFont="1" applyFill="1" applyBorder="1" applyAlignment="1">
      <alignment horizontal="center" vertical="center" shrinkToFit="1"/>
    </xf>
    <xf numFmtId="188" fontId="16" fillId="0" borderId="91" xfId="0" applyNumberFormat="1" applyFont="1" applyBorder="1" applyAlignment="1">
      <alignment horizontal="center" vertical="center" shrinkToFit="1"/>
    </xf>
    <xf numFmtId="188" fontId="16" fillId="0" borderId="94" xfId="0" applyNumberFormat="1" applyFont="1" applyBorder="1" applyAlignment="1">
      <alignment horizontal="center" vertical="center" shrinkToFit="1"/>
    </xf>
    <xf numFmtId="0" fontId="53" fillId="0" borderId="90" xfId="0" applyFont="1" applyBorder="1" applyAlignment="1">
      <alignment horizontal="center" vertical="center" shrinkToFit="1"/>
    </xf>
    <xf numFmtId="0" fontId="19" fillId="0" borderId="92" xfId="0" applyFont="1" applyBorder="1" applyAlignment="1">
      <alignment horizontal="center" vertical="center" shrinkToFit="1"/>
    </xf>
    <xf numFmtId="178" fontId="30" fillId="0" borderId="93" xfId="1" applyNumberFormat="1" applyFont="1" applyBorder="1" applyAlignment="1">
      <alignment horizontal="center" vertical="center" shrinkToFit="1"/>
    </xf>
    <xf numFmtId="10" fontId="21" fillId="0" borderId="95" xfId="1" applyNumberFormat="1" applyFont="1" applyBorder="1">
      <alignment vertical="center"/>
    </xf>
    <xf numFmtId="10" fontId="10" fillId="5" borderId="96" xfId="1" applyNumberFormat="1" applyFill="1" applyBorder="1" applyAlignment="1">
      <alignment horizontal="right" vertical="center"/>
    </xf>
    <xf numFmtId="190" fontId="33" fillId="0" borderId="95" xfId="0" applyNumberFormat="1" applyFont="1" applyBorder="1" applyAlignment="1">
      <alignment vertical="center" shrinkToFit="1"/>
    </xf>
    <xf numFmtId="190" fontId="33" fillId="0" borderId="95" xfId="0" applyNumberFormat="1" applyFont="1" applyBorder="1"/>
    <xf numFmtId="0" fontId="27" fillId="0" borderId="97" xfId="0" applyFont="1" applyBorder="1" applyAlignment="1">
      <alignment horizontal="right" vertical="center" shrinkToFit="1"/>
    </xf>
    <xf numFmtId="0" fontId="24" fillId="17" borderId="98" xfId="0" applyFont="1" applyFill="1" applyBorder="1" applyAlignment="1">
      <alignment horizontal="right" vertical="center" shrinkToFit="1"/>
    </xf>
    <xf numFmtId="0" fontId="27" fillId="0" borderId="99" xfId="0" applyFont="1" applyBorder="1" applyAlignment="1">
      <alignment horizontal="right" vertical="center" shrinkToFit="1"/>
    </xf>
    <xf numFmtId="0" fontId="24" fillId="17" borderId="100" xfId="0" applyFont="1" applyFill="1" applyBorder="1" applyAlignment="1">
      <alignment horizontal="right" vertical="center" shrinkToFit="1"/>
    </xf>
    <xf numFmtId="191" fontId="26" fillId="0" borderId="101" xfId="2" applyNumberFormat="1" applyFont="1" applyBorder="1" applyAlignment="1">
      <alignment vertical="center" shrinkToFit="1"/>
    </xf>
    <xf numFmtId="187" fontId="35" fillId="12" borderId="102" xfId="2" applyNumberFormat="1" applyFont="1" applyFill="1" applyBorder="1" applyAlignment="1">
      <alignment vertical="center" shrinkToFit="1"/>
    </xf>
    <xf numFmtId="186" fontId="26" fillId="0" borderId="103" xfId="2" applyNumberFormat="1" applyFont="1" applyBorder="1" applyAlignment="1">
      <alignment vertical="center" shrinkToFit="1"/>
    </xf>
    <xf numFmtId="187" fontId="35" fillId="12" borderId="104" xfId="2" applyNumberFormat="1" applyFont="1" applyFill="1" applyBorder="1" applyAlignment="1">
      <alignment vertical="center" shrinkToFit="1"/>
    </xf>
    <xf numFmtId="187" fontId="26" fillId="0" borderId="105" xfId="2" applyNumberFormat="1" applyFont="1" applyBorder="1" applyAlignment="1">
      <alignment vertical="center" shrinkToFit="1"/>
    </xf>
    <xf numFmtId="187" fontId="35" fillId="12" borderId="106" xfId="2" applyNumberFormat="1" applyFont="1" applyFill="1" applyBorder="1" applyAlignment="1">
      <alignment vertical="center" shrinkToFit="1"/>
    </xf>
    <xf numFmtId="186" fontId="38" fillId="19" borderId="73" xfId="0" applyNumberFormat="1" applyFont="1" applyFill="1" applyBorder="1" applyAlignment="1">
      <alignment horizontal="right" vertical="center" shrinkToFit="1"/>
    </xf>
    <xf numFmtId="187" fontId="12" fillId="5" borderId="107" xfId="0" applyNumberFormat="1" applyFont="1" applyFill="1" applyBorder="1" applyAlignment="1">
      <alignment vertical="center" shrinkToFit="1"/>
    </xf>
    <xf numFmtId="186" fontId="38" fillId="19" borderId="108" xfId="0" applyNumberFormat="1" applyFont="1" applyFill="1" applyBorder="1" applyAlignment="1">
      <alignment horizontal="right" vertical="center" shrinkToFit="1"/>
    </xf>
    <xf numFmtId="187" fontId="12" fillId="5" borderId="109" xfId="0" applyNumberFormat="1" applyFont="1" applyFill="1" applyBorder="1" applyAlignment="1">
      <alignment vertical="center" shrinkToFit="1"/>
    </xf>
    <xf numFmtId="187" fontId="26" fillId="0" borderId="110" xfId="2" applyNumberFormat="1" applyFont="1" applyBorder="1" applyAlignment="1">
      <alignment vertical="center" shrinkToFit="1"/>
    </xf>
    <xf numFmtId="187" fontId="35" fillId="12" borderId="111" xfId="2" applyNumberFormat="1" applyFont="1" applyFill="1" applyBorder="1" applyAlignment="1">
      <alignment vertical="center" shrinkToFit="1"/>
    </xf>
    <xf numFmtId="187" fontId="26" fillId="0" borderId="112" xfId="2" applyNumberFormat="1" applyFont="1" applyBorder="1" applyAlignment="1">
      <alignment vertical="center" shrinkToFit="1"/>
    </xf>
    <xf numFmtId="187" fontId="35" fillId="12" borderId="74" xfId="2" applyNumberFormat="1" applyFont="1" applyFill="1" applyBorder="1" applyAlignment="1">
      <alignment vertical="center" shrinkToFit="1"/>
    </xf>
    <xf numFmtId="186" fontId="38" fillId="19" borderId="113" xfId="0" applyNumberFormat="1" applyFont="1" applyFill="1" applyBorder="1" applyAlignment="1">
      <alignment vertical="center" shrinkToFit="1"/>
    </xf>
    <xf numFmtId="187" fontId="12" fillId="5" borderId="114" xfId="0" applyNumberFormat="1" applyFont="1" applyFill="1" applyBorder="1" applyAlignment="1">
      <alignment vertical="center" shrinkToFit="1"/>
    </xf>
    <xf numFmtId="0" fontId="24" fillId="28" borderId="95" xfId="0" applyFont="1" applyFill="1" applyBorder="1" applyAlignment="1">
      <alignment horizontal="right" vertical="center" shrinkToFit="1"/>
    </xf>
    <xf numFmtId="49" fontId="29" fillId="0" borderId="50" xfId="0" applyNumberFormat="1" applyFont="1" applyBorder="1" applyAlignment="1">
      <alignment horizontal="left" vertical="center" shrinkToFit="1"/>
    </xf>
    <xf numFmtId="195" fontId="29" fillId="0" borderId="51" xfId="0" applyNumberFormat="1" applyFont="1" applyBorder="1" applyAlignment="1">
      <alignment horizontal="left" vertical="center" shrinkToFit="1"/>
    </xf>
    <xf numFmtId="183" fontId="19" fillId="0" borderId="49" xfId="0" applyNumberFormat="1" applyFont="1" applyBorder="1" applyAlignment="1">
      <alignment horizontal="right" vertical="center" shrinkToFit="1"/>
    </xf>
    <xf numFmtId="187" fontId="19" fillId="0" borderId="41" xfId="0" applyNumberFormat="1" applyFont="1" applyBorder="1" applyAlignment="1">
      <alignment horizontal="right" vertical="center" shrinkToFit="1"/>
    </xf>
    <xf numFmtId="187" fontId="19" fillId="0" borderId="42" xfId="0" applyNumberFormat="1" applyFont="1" applyBorder="1" applyAlignment="1">
      <alignment horizontal="right" vertical="center" shrinkToFit="1"/>
    </xf>
    <xf numFmtId="187" fontId="19" fillId="0" borderId="43" xfId="0" applyNumberFormat="1" applyFont="1" applyBorder="1" applyAlignment="1">
      <alignment horizontal="right" vertical="center" shrinkToFit="1"/>
    </xf>
    <xf numFmtId="183" fontId="70" fillId="0" borderId="50" xfId="2" applyNumberFormat="1" applyFont="1" applyBorder="1" applyAlignment="1">
      <alignment horizontal="right" vertical="center" shrinkToFit="1"/>
    </xf>
    <xf numFmtId="187" fontId="70" fillId="0" borderId="44" xfId="0" applyNumberFormat="1" applyFont="1" applyBorder="1" applyAlignment="1">
      <alignment horizontal="right" vertical="center" shrinkToFit="1"/>
    </xf>
    <xf numFmtId="187" fontId="70" fillId="0" borderId="23" xfId="0" applyNumberFormat="1" applyFont="1" applyBorder="1" applyAlignment="1">
      <alignment horizontal="right" vertical="center" shrinkToFit="1"/>
    </xf>
    <xf numFmtId="187" fontId="70" fillId="0" borderId="45" xfId="0" applyNumberFormat="1" applyFont="1" applyBorder="1" applyAlignment="1">
      <alignment horizontal="right" vertical="center" shrinkToFit="1"/>
    </xf>
    <xf numFmtId="183" fontId="19" fillId="0" borderId="50" xfId="0" applyNumberFormat="1" applyFont="1" applyBorder="1" applyAlignment="1">
      <alignment horizontal="right" vertical="center" shrinkToFit="1"/>
    </xf>
    <xf numFmtId="187" fontId="19" fillId="0" borderId="46" xfId="0" applyNumberFormat="1" applyFont="1" applyBorder="1" applyAlignment="1">
      <alignment horizontal="right" vertical="center" shrinkToFit="1"/>
    </xf>
    <xf numFmtId="187" fontId="19" fillId="0" borderId="47" xfId="0" applyNumberFormat="1" applyFont="1" applyBorder="1" applyAlignment="1">
      <alignment horizontal="right" vertical="center" shrinkToFit="1"/>
    </xf>
    <xf numFmtId="187" fontId="19" fillId="0" borderId="48" xfId="0" applyNumberFormat="1" applyFont="1" applyBorder="1" applyAlignment="1">
      <alignment horizontal="right" vertical="center" shrinkToFit="1"/>
    </xf>
    <xf numFmtId="0" fontId="34" fillId="0" borderId="16" xfId="0" applyFont="1" applyBorder="1" applyAlignment="1">
      <alignment vertical="center"/>
    </xf>
    <xf numFmtId="0" fontId="20" fillId="0" borderId="16" xfId="0" applyFont="1" applyBorder="1" applyAlignment="1">
      <alignment horizontal="left" vertical="center" shrinkToFit="1"/>
    </xf>
    <xf numFmtId="0" fontId="55" fillId="24" borderId="115" xfId="0" applyFont="1" applyFill="1" applyBorder="1" applyAlignment="1">
      <alignment horizontal="center"/>
    </xf>
    <xf numFmtId="0" fontId="71" fillId="0" borderId="16" xfId="0" applyFont="1" applyBorder="1" applyAlignment="1">
      <alignment horizontal="center"/>
    </xf>
    <xf numFmtId="10" fontId="12" fillId="5" borderId="3" xfId="0" applyNumberFormat="1" applyFont="1" applyFill="1" applyBorder="1"/>
    <xf numFmtId="0" fontId="73" fillId="17" borderId="16" xfId="0" applyFont="1" applyFill="1" applyBorder="1" applyAlignment="1">
      <alignment vertical="center" shrinkToFit="1"/>
    </xf>
    <xf numFmtId="10" fontId="67" fillId="0" borderId="16" xfId="0" applyNumberFormat="1" applyFont="1" applyBorder="1" applyAlignment="1">
      <alignment horizontal="right" shrinkToFit="1"/>
    </xf>
    <xf numFmtId="0" fontId="66" fillId="0" borderId="16" xfId="0" applyFont="1" applyBorder="1" applyAlignment="1">
      <alignment vertical="center"/>
    </xf>
    <xf numFmtId="0" fontId="66" fillId="0" borderId="0" xfId="0" applyFont="1" applyBorder="1" applyAlignment="1">
      <alignment vertical="center" shrinkToFit="1"/>
    </xf>
    <xf numFmtId="0" fontId="66" fillId="0" borderId="16" xfId="0" applyFont="1" applyBorder="1" applyAlignment="1">
      <alignment vertical="center" shrinkToFit="1"/>
    </xf>
    <xf numFmtId="178" fontId="66" fillId="0" borderId="16" xfId="1" applyNumberFormat="1" applyFont="1" applyBorder="1">
      <alignment vertical="center"/>
    </xf>
    <xf numFmtId="0" fontId="66" fillId="0" borderId="16" xfId="0" applyFont="1" applyBorder="1"/>
    <xf numFmtId="0" fontId="75" fillId="16" borderId="88" xfId="0" applyFont="1" applyFill="1" applyBorder="1" applyAlignment="1">
      <alignment vertical="center" shrinkToFit="1"/>
    </xf>
    <xf numFmtId="0" fontId="67" fillId="0" borderId="88" xfId="0" applyFont="1" applyBorder="1" applyAlignment="1">
      <alignment vertical="center" shrinkToFit="1"/>
    </xf>
    <xf numFmtId="0" fontId="67" fillId="0" borderId="16" xfId="0" applyFont="1" applyBorder="1" applyAlignment="1">
      <alignment horizontal="right" shrinkToFit="1"/>
    </xf>
    <xf numFmtId="41" fontId="74" fillId="0" borderId="16" xfId="0" applyNumberFormat="1" applyFont="1" applyBorder="1" applyAlignment="1">
      <alignment horizontal="right" vertical="center" shrinkToFit="1"/>
    </xf>
    <xf numFmtId="0" fontId="74" fillId="0" borderId="16" xfId="0" applyFont="1" applyBorder="1" applyAlignment="1">
      <alignment horizontal="right" vertical="center" shrinkToFit="1"/>
    </xf>
    <xf numFmtId="3" fontId="19" fillId="0" borderId="23" xfId="0" applyNumberFormat="1" applyFont="1" applyBorder="1" applyAlignment="1">
      <alignment vertical="center" shrinkToFit="1"/>
    </xf>
    <xf numFmtId="0" fontId="66" fillId="0" borderId="16" xfId="0" applyFont="1" applyBorder="1" applyAlignment="1">
      <alignment shrinkToFit="1"/>
    </xf>
    <xf numFmtId="0" fontId="66" fillId="0" borderId="88" xfId="0" applyFont="1" applyBorder="1" applyAlignment="1">
      <alignment shrinkToFit="1"/>
    </xf>
    <xf numFmtId="178" fontId="66" fillId="0" borderId="16" xfId="1" applyNumberFormat="1" applyFont="1" applyBorder="1" applyAlignment="1">
      <alignment vertical="center" shrinkToFit="1"/>
    </xf>
    <xf numFmtId="194" fontId="51" fillId="0" borderId="16" xfId="0" applyNumberFormat="1" applyFont="1" applyBorder="1" applyAlignment="1">
      <alignment horizontal="right" vertical="center" shrinkToFit="1"/>
    </xf>
    <xf numFmtId="10" fontId="19" fillId="0" borderId="75" xfId="0" applyNumberFormat="1" applyFont="1" applyBorder="1" applyAlignment="1">
      <alignment vertical="center"/>
    </xf>
    <xf numFmtId="0" fontId="34" fillId="0" borderId="16" xfId="0" applyFont="1" applyBorder="1" applyAlignment="1">
      <alignment horizontal="right" vertical="center"/>
    </xf>
    <xf numFmtId="41" fontId="25" fillId="15" borderId="28" xfId="2" quotePrefix="1" applyFont="1" applyFill="1" applyBorder="1" applyAlignment="1">
      <alignment horizontal="left" vertical="center" shrinkToFit="1"/>
    </xf>
    <xf numFmtId="41" fontId="25" fillId="15" borderId="30" xfId="2" quotePrefix="1" applyFont="1" applyFill="1" applyBorder="1" applyAlignment="1">
      <alignment horizontal="right" vertical="center" shrinkToFit="1"/>
    </xf>
    <xf numFmtId="0" fontId="51" fillId="0" borderId="16" xfId="0" applyFont="1" applyBorder="1" applyAlignment="1">
      <alignment vertical="center"/>
    </xf>
    <xf numFmtId="0" fontId="51" fillId="0" borderId="16" xfId="0" applyFont="1" applyBorder="1"/>
    <xf numFmtId="189" fontId="66" fillId="0" borderId="16" xfId="0" applyNumberFormat="1" applyFont="1" applyBorder="1" applyAlignment="1">
      <alignment horizontal="left" vertical="center"/>
    </xf>
    <xf numFmtId="0" fontId="76" fillId="0" borderId="16" xfId="0" applyFont="1" applyBorder="1" applyAlignment="1">
      <alignment horizontal="right"/>
    </xf>
    <xf numFmtId="189" fontId="76" fillId="0" borderId="16" xfId="0" applyNumberFormat="1" applyFont="1" applyBorder="1" applyAlignment="1">
      <alignment vertical="center"/>
    </xf>
    <xf numFmtId="178" fontId="76" fillId="0" borderId="16" xfId="1" applyNumberFormat="1" applyFont="1" applyBorder="1">
      <alignment vertical="center"/>
    </xf>
    <xf numFmtId="0" fontId="76" fillId="0" borderId="16" xfId="0" applyFont="1" applyBorder="1" applyAlignment="1">
      <alignment vertical="center" shrinkToFit="1"/>
    </xf>
    <xf numFmtId="0" fontId="76" fillId="0" borderId="16" xfId="0" applyFont="1" applyBorder="1" applyAlignment="1">
      <alignment horizontal="left" vertical="center"/>
    </xf>
    <xf numFmtId="0" fontId="76" fillId="0" borderId="16" xfId="0" applyFont="1" applyBorder="1" applyAlignment="1">
      <alignment vertical="center"/>
    </xf>
    <xf numFmtId="0" fontId="77" fillId="0" borderId="16" xfId="0" applyFont="1" applyBorder="1" applyAlignment="1">
      <alignment vertical="center" shrinkToFit="1"/>
    </xf>
    <xf numFmtId="0" fontId="0" fillId="0" borderId="13" xfId="0" applyBorder="1" applyAlignment="1">
      <alignment horizontal="center"/>
    </xf>
    <xf numFmtId="10" fontId="16" fillId="0" borderId="16" xfId="0" applyNumberFormat="1" applyFont="1" applyBorder="1"/>
    <xf numFmtId="0" fontId="50" fillId="0" borderId="116" xfId="0" applyFont="1" applyBorder="1" applyAlignment="1">
      <alignment horizontal="right" vertical="center"/>
    </xf>
    <xf numFmtId="0" fontId="50" fillId="0" borderId="117" xfId="0" applyFont="1" applyBorder="1" applyAlignment="1">
      <alignment horizontal="right" vertical="center" shrinkToFit="1"/>
    </xf>
    <xf numFmtId="0" fontId="16" fillId="0" borderId="116" xfId="0" applyFont="1" applyBorder="1" applyAlignment="1">
      <alignment vertical="center"/>
    </xf>
    <xf numFmtId="0" fontId="48" fillId="0" borderId="117" xfId="0" applyFont="1" applyBorder="1"/>
    <xf numFmtId="0" fontId="16" fillId="0" borderId="118" xfId="0" applyFont="1" applyBorder="1"/>
    <xf numFmtId="0" fontId="19" fillId="0" borderId="119" xfId="0" applyFont="1" applyBorder="1"/>
    <xf numFmtId="0" fontId="19" fillId="0" borderId="120" xfId="0" applyFont="1" applyBorder="1"/>
    <xf numFmtId="0" fontId="50" fillId="0" borderId="121" xfId="0" applyFont="1" applyBorder="1" applyAlignment="1">
      <alignment horizontal="right" vertical="center" shrinkToFit="1"/>
    </xf>
    <xf numFmtId="0" fontId="50" fillId="0" borderId="122" xfId="0" applyFont="1" applyBorder="1" applyAlignment="1">
      <alignment horizontal="right" vertical="center"/>
    </xf>
    <xf numFmtId="0" fontId="48" fillId="0" borderId="121" xfId="0" applyFont="1" applyBorder="1"/>
    <xf numFmtId="0" fontId="16" fillId="0" borderId="122" xfId="0" applyFont="1" applyBorder="1"/>
    <xf numFmtId="0" fontId="48" fillId="0" borderId="123" xfId="0" applyFont="1" applyBorder="1"/>
    <xf numFmtId="0" fontId="16" fillId="0" borderId="124" xfId="0" applyFont="1" applyBorder="1" applyAlignment="1">
      <alignment vertical="center"/>
    </xf>
    <xf numFmtId="0" fontId="48" fillId="0" borderId="125" xfId="0" applyFont="1" applyBorder="1"/>
    <xf numFmtId="0" fontId="16" fillId="0" borderId="126" xfId="0" applyFont="1" applyBorder="1"/>
    <xf numFmtId="191" fontId="21" fillId="23" borderId="127" xfId="0" applyNumberFormat="1" applyFont="1" applyFill="1" applyBorder="1" applyAlignment="1">
      <alignment horizontal="right" vertical="center" shrinkToFit="1"/>
    </xf>
    <xf numFmtId="191" fontId="21" fillId="23" borderId="128" xfId="0" applyNumberFormat="1" applyFont="1" applyFill="1" applyBorder="1" applyAlignment="1">
      <alignment horizontal="right" vertical="center" shrinkToFit="1"/>
    </xf>
    <xf numFmtId="186" fontId="21" fillId="0" borderId="129" xfId="0" applyNumberFormat="1" applyFont="1" applyBorder="1" applyAlignment="1">
      <alignment vertical="center" shrinkToFit="1"/>
    </xf>
    <xf numFmtId="186" fontId="21" fillId="0" borderId="130" xfId="0" applyNumberFormat="1" applyFont="1" applyBorder="1" applyAlignment="1">
      <alignment vertical="center" shrinkToFit="1"/>
    </xf>
    <xf numFmtId="186" fontId="21" fillId="0" borderId="131" xfId="0" applyNumberFormat="1" applyFont="1" applyBorder="1" applyAlignment="1">
      <alignment vertical="center" shrinkToFit="1"/>
    </xf>
    <xf numFmtId="186" fontId="21" fillId="0" borderId="132" xfId="0" applyNumberFormat="1" applyFont="1" applyBorder="1" applyAlignment="1">
      <alignment vertical="center" shrinkToFit="1"/>
    </xf>
    <xf numFmtId="191" fontId="21" fillId="23" borderId="133" xfId="0" applyNumberFormat="1" applyFont="1" applyFill="1" applyBorder="1" applyAlignment="1">
      <alignment horizontal="right" vertical="center" shrinkToFit="1"/>
    </xf>
    <xf numFmtId="191" fontId="21" fillId="23" borderId="134" xfId="0" applyNumberFormat="1" applyFont="1" applyFill="1" applyBorder="1" applyAlignment="1">
      <alignment horizontal="right" vertical="center" shrinkToFit="1"/>
    </xf>
    <xf numFmtId="186" fontId="21" fillId="0" borderId="135" xfId="0" applyNumberFormat="1" applyFont="1" applyBorder="1" applyAlignment="1">
      <alignment vertical="center" shrinkToFit="1"/>
    </xf>
    <xf numFmtId="186" fontId="21" fillId="0" borderId="136" xfId="0" applyNumberFormat="1" applyFont="1" applyBorder="1" applyAlignment="1">
      <alignment vertical="center" shrinkToFit="1"/>
    </xf>
    <xf numFmtId="186" fontId="21" fillId="0" borderId="137" xfId="0" applyNumberFormat="1" applyFont="1" applyBorder="1" applyAlignment="1">
      <alignment vertical="center" shrinkToFit="1"/>
    </xf>
    <xf numFmtId="186" fontId="21" fillId="0" borderId="138" xfId="0" applyNumberFormat="1" applyFont="1" applyBorder="1" applyAlignment="1">
      <alignment vertical="center" shrinkToFit="1"/>
    </xf>
    <xf numFmtId="41" fontId="26" fillId="5" borderId="3" xfId="2" applyFont="1" applyFill="1" applyBorder="1" applyAlignment="1">
      <alignment vertical="center" shrinkToFit="1"/>
    </xf>
    <xf numFmtId="0" fontId="14" fillId="6" borderId="16" xfId="0" applyFont="1" applyFill="1" applyBorder="1" applyAlignment="1">
      <alignment horizontal="left" vertical="center"/>
    </xf>
    <xf numFmtId="0" fontId="0" fillId="0" borderId="15" xfId="0"/>
    <xf numFmtId="0" fontId="34" fillId="0" borderId="16" xfId="0" applyFont="1" applyBorder="1" applyAlignment="1">
      <alignment horizontal="right" vertical="center" shrinkToFit="1"/>
    </xf>
    <xf numFmtId="0" fontId="0" fillId="0" borderId="0" xfId="0" applyBorder="1" applyAlignment="1">
      <alignment horizontal="right" vertical="center" shrinkToFit="1"/>
    </xf>
    <xf numFmtId="10" fontId="17" fillId="5" borderId="35" xfId="0" applyNumberFormat="1" applyFont="1" applyFill="1" applyBorder="1" applyAlignment="1">
      <alignment horizontal="right" vertical="center" shrinkToFit="1"/>
    </xf>
    <xf numFmtId="10" fontId="0" fillId="5" borderId="34" xfId="0" applyNumberFormat="1" applyFill="1" applyBorder="1" applyAlignment="1">
      <alignment horizontal="right" vertical="center" shrinkToFit="1"/>
    </xf>
    <xf numFmtId="10" fontId="17" fillId="26" borderId="35" xfId="0" applyNumberFormat="1" applyFont="1" applyFill="1" applyBorder="1" applyAlignment="1">
      <alignment horizontal="right" vertical="center" shrinkToFit="1"/>
    </xf>
    <xf numFmtId="10" fontId="0" fillId="26" borderId="34" xfId="0" applyNumberFormat="1" applyFill="1" applyBorder="1" applyAlignment="1">
      <alignment horizontal="right" vertical="center" shrinkToFit="1"/>
    </xf>
    <xf numFmtId="0" fontId="22" fillId="11" borderId="36" xfId="0" applyFont="1" applyFill="1" applyBorder="1" applyAlignment="1">
      <alignment vertical="center" shrinkToFit="1"/>
    </xf>
    <xf numFmtId="0" fontId="0" fillId="0" borderId="37" xfId="0" applyBorder="1" applyAlignment="1">
      <alignment vertical="center" shrinkToFit="1"/>
    </xf>
    <xf numFmtId="181" fontId="68" fillId="21" borderId="71" xfId="0" applyNumberFormat="1" applyFont="1" applyFill="1" applyBorder="1" applyAlignment="1">
      <alignment vertical="center" shrinkToFit="1"/>
    </xf>
    <xf numFmtId="0" fontId="69" fillId="0" borderId="72" xfId="0" applyFont="1" applyBorder="1" applyAlignment="1">
      <alignment vertical="center" shrinkToFit="1"/>
    </xf>
    <xf numFmtId="0" fontId="69" fillId="0" borderId="73" xfId="0" applyFont="1" applyBorder="1" applyAlignment="1">
      <alignment vertical="center" shrinkToFit="1"/>
    </xf>
    <xf numFmtId="0" fontId="69" fillId="0" borderId="74" xfId="0" applyFont="1" applyBorder="1" applyAlignment="1">
      <alignment vertical="center" shrinkToFit="1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5" borderId="12" xfId="0" applyFill="1" applyBorder="1"/>
    <xf numFmtId="0" fontId="0" fillId="5" borderId="13" xfId="0" applyFill="1" applyBorder="1"/>
    <xf numFmtId="0" fontId="0" fillId="0" borderId="12" xfId="0" applyBorder="1"/>
    <xf numFmtId="0" fontId="0" fillId="0" borderId="13" xfId="0" applyBorder="1"/>
    <xf numFmtId="0" fontId="0" fillId="0" borderId="10" xfId="0" applyBorder="1" applyAlignment="1">
      <alignment horizontal="left"/>
    </xf>
    <xf numFmtId="0" fontId="0" fillId="0" borderId="77" xfId="0" applyBorder="1" applyAlignment="1">
      <alignment horizontal="left"/>
    </xf>
    <xf numFmtId="0" fontId="0" fillId="0" borderId="20" xfId="0" applyBorder="1" applyAlignment="1">
      <alignment horizontal="left"/>
    </xf>
    <xf numFmtId="10" fontId="17" fillId="0" borderId="35" xfId="6" applyNumberFormat="1" applyFont="1" applyBorder="1" applyAlignment="1">
      <alignment horizontal="right" vertical="center" shrinkToFit="1"/>
    </xf>
    <xf numFmtId="0" fontId="3" fillId="0" borderId="34" xfId="6" applyBorder="1" applyAlignment="1">
      <alignment horizontal="right" vertical="center" shrinkToFit="1"/>
    </xf>
    <xf numFmtId="0" fontId="3" fillId="0" borderId="12" xfId="6" applyBorder="1" applyAlignment="1">
      <alignment horizontal="center" vertical="center"/>
    </xf>
    <xf numFmtId="0" fontId="3" fillId="0" borderId="13" xfId="6" applyBorder="1" applyAlignment="1">
      <alignment horizontal="center" vertical="center"/>
    </xf>
    <xf numFmtId="10" fontId="78" fillId="0" borderId="13" xfId="1" applyNumberFormat="1" applyFont="1" applyBorder="1" applyAlignment="1">
      <alignment horizontal="center" vertical="center"/>
    </xf>
    <xf numFmtId="10" fontId="78" fillId="0" borderId="13" xfId="1" applyNumberFormat="1" applyFont="1" applyBorder="1">
      <alignment vertical="center"/>
    </xf>
    <xf numFmtId="10" fontId="78" fillId="0" borderId="13" xfId="0" applyNumberFormat="1" applyFont="1" applyBorder="1" applyAlignment="1">
      <alignment horizontal="center"/>
    </xf>
    <xf numFmtId="0" fontId="78" fillId="0" borderId="12" xfId="0" applyFont="1" applyBorder="1" applyAlignment="1">
      <alignment horizontal="center" vertical="center" shrinkToFit="1"/>
    </xf>
    <xf numFmtId="0" fontId="78" fillId="0" borderId="12" xfId="0" applyFont="1" applyBorder="1" applyAlignment="1">
      <alignment shrinkToFit="1"/>
    </xf>
    <xf numFmtId="0" fontId="78" fillId="0" borderId="12" xfId="0" applyFont="1" applyBorder="1"/>
    <xf numFmtId="0" fontId="78" fillId="0" borderId="14" xfId="0" applyFont="1" applyBorder="1" applyAlignment="1">
      <alignment horizontal="center" vertical="center"/>
    </xf>
    <xf numFmtId="0" fontId="78" fillId="0" borderId="14" xfId="0" applyFont="1" applyBorder="1" applyAlignment="1">
      <alignment shrinkToFit="1"/>
    </xf>
    <xf numFmtId="0" fontId="78" fillId="0" borderId="14" xfId="0" applyFont="1" applyBorder="1"/>
    <xf numFmtId="0" fontId="78" fillId="0" borderId="13" xfId="0" applyFont="1" applyBorder="1" applyAlignment="1">
      <alignment horizontal="center" vertical="center"/>
    </xf>
    <xf numFmtId="0" fontId="78" fillId="0" borderId="13" xfId="0" applyFont="1" applyBorder="1" applyAlignment="1">
      <alignment shrinkToFit="1"/>
    </xf>
    <xf numFmtId="0" fontId="78" fillId="0" borderId="13" xfId="0" applyFont="1" applyBorder="1"/>
    <xf numFmtId="0" fontId="78" fillId="0" borderId="12" xfId="0" applyFont="1" applyBorder="1" applyAlignment="1">
      <alignment horizontal="center" vertical="center"/>
    </xf>
    <xf numFmtId="0" fontId="78" fillId="0" borderId="12" xfId="0" applyFont="1" applyFill="1" applyBorder="1"/>
    <xf numFmtId="192" fontId="78" fillId="0" borderId="13" xfId="1" applyNumberFormat="1" applyFont="1" applyBorder="1">
      <alignment vertical="center"/>
    </xf>
    <xf numFmtId="4" fontId="78" fillId="0" borderId="13" xfId="0" applyNumberFormat="1" applyFont="1" applyBorder="1"/>
    <xf numFmtId="0" fontId="78" fillId="0" borderId="0" xfId="0" applyFont="1" applyBorder="1"/>
    <xf numFmtId="41" fontId="78" fillId="0" borderId="14" xfId="2" applyFont="1" applyBorder="1">
      <alignment vertical="center"/>
    </xf>
    <xf numFmtId="41" fontId="78" fillId="0" borderId="13" xfId="2" applyFont="1" applyBorder="1">
      <alignment vertical="center"/>
    </xf>
    <xf numFmtId="184" fontId="13" fillId="22" borderId="139" xfId="0" applyNumberFormat="1" applyFont="1" applyFill="1" applyBorder="1" applyAlignment="1">
      <alignment horizontal="right"/>
    </xf>
    <xf numFmtId="10" fontId="13" fillId="22" borderId="72" xfId="0" applyNumberFormat="1" applyFont="1" applyFill="1" applyBorder="1" applyAlignment="1">
      <alignment horizontal="right"/>
    </xf>
    <xf numFmtId="0" fontId="39" fillId="22" borderId="140" xfId="0" applyFont="1" applyFill="1" applyBorder="1"/>
    <xf numFmtId="0" fontId="0" fillId="22" borderId="141" xfId="0" applyFill="1" applyBorder="1" applyAlignment="1">
      <alignment horizontal="right"/>
    </xf>
    <xf numFmtId="0" fontId="40" fillId="22" borderId="140" xfId="0" applyFont="1" applyFill="1" applyBorder="1"/>
    <xf numFmtId="0" fontId="46" fillId="22" borderId="140" xfId="0" applyFont="1" applyFill="1" applyBorder="1"/>
    <xf numFmtId="0" fontId="13" fillId="0" borderId="140" xfId="0" applyFont="1" applyBorder="1"/>
    <xf numFmtId="0" fontId="0" fillId="0" borderId="141" xfId="0" applyBorder="1" applyAlignment="1">
      <alignment horizontal="right"/>
    </xf>
    <xf numFmtId="0" fontId="13" fillId="0" borderId="140" xfId="1" applyNumberFormat="1" applyFont="1" applyBorder="1" applyAlignment="1"/>
    <xf numFmtId="0" fontId="13" fillId="0" borderId="139" xfId="0" applyFont="1" applyBorder="1"/>
    <xf numFmtId="0" fontId="13" fillId="0" borderId="139" xfId="0" applyFont="1" applyBorder="1" applyAlignment="1">
      <alignment horizontal="right"/>
    </xf>
    <xf numFmtId="0" fontId="0" fillId="0" borderId="139" xfId="0" applyBorder="1" applyAlignment="1">
      <alignment horizontal="right"/>
    </xf>
    <xf numFmtId="183" fontId="12" fillId="5" borderId="16" xfId="2" applyNumberFormat="1" applyFont="1" applyFill="1" applyBorder="1">
      <alignment vertical="center"/>
    </xf>
  </cellXfs>
  <cellStyles count="16">
    <cellStyle name="백분율" xfId="1" builtinId="5"/>
    <cellStyle name="백분율 2" xfId="9" xr:uid="{45581771-10B1-45BC-9E06-3A7CF81D2812}"/>
    <cellStyle name="쉼표 [0]" xfId="2" builtinId="6"/>
    <cellStyle name="쉼표 [0] 2" xfId="10" xr:uid="{E432145E-276A-47D8-B31E-F403470190F1}"/>
    <cellStyle name="표준" xfId="0" builtinId="0"/>
    <cellStyle name="표준 2" xfId="3" xr:uid="{00000000-0005-0000-0000-000003000000}"/>
    <cellStyle name="표준 2 2" xfId="11" xr:uid="{1889CAA2-007D-48CF-A717-F5F5B2FB8093}"/>
    <cellStyle name="표준 3" xfId="5" xr:uid="{0AC28C3A-1807-48D7-84F4-09F67D1B5D38}"/>
    <cellStyle name="표준 3 2" xfId="13" xr:uid="{80A11746-5C3A-4C6E-A23E-9FE136FD7E6E}"/>
    <cellStyle name="표준 4" xfId="6" xr:uid="{82F60391-3F33-40F0-A9CD-F2F49F9FA08D}"/>
    <cellStyle name="표준 4 2" xfId="14" xr:uid="{8B6F6097-1B5A-419F-B44D-F20056D45B06}"/>
    <cellStyle name="표준 5" xfId="7" xr:uid="{E7CF613B-2293-4C97-BD7C-8F31B4271A59}"/>
    <cellStyle name="표준 5 2" xfId="15" xr:uid="{22EFE5F3-4053-41D9-A251-B0429DFAC695}"/>
    <cellStyle name="표준 6" xfId="8" xr:uid="{93600886-C91A-4FEF-82AF-C3E773302259}"/>
    <cellStyle name="하이퍼링크" xfId="4" builtinId="8"/>
    <cellStyle name="하이퍼링크 2" xfId="12" xr:uid="{ECC5D5D8-08CB-480B-9936-7D7E781C73CE}"/>
  </cellStyles>
  <dxfs count="2">
    <dxf>
      <font>
        <b val="0"/>
        <i val="0"/>
      </font>
      <fill>
        <patternFill>
          <bgColor theme="6" tint="0.39994506668294322"/>
        </patternFill>
      </fill>
    </dxf>
    <dxf>
      <font>
        <b val="0"/>
        <i val="0"/>
      </font>
      <fill>
        <patternFill>
          <bgColor theme="6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inance.rtd">
      <tp t="s">
        <v>1:06:06</v>
        <stp/>
        <stp>SAMSUNGUSDT</stp>
        <stp>countdown</stp>
        <tr r="J34" s="1"/>
      </tp>
    </main>
    <main first="ls.rtd">
      <tp>
        <v>415000</v>
        <stp/>
        <stp>005380</stp>
        <stp>매도호가</stp>
        <tr r="H62" s="1"/>
      </tp>
      <tp>
        <v>284000</v>
        <stp/>
        <stp>005930F</stp>
        <stp>매도호가</stp>
        <tr r="H59" s="1"/>
      </tp>
      <tp>
        <v>411500</v>
        <stp/>
        <stp>005380F</stp>
        <stp>매도호가</stp>
        <tr r="H63" s="1"/>
      </tp>
      <tp>
        <v>1745000</v>
        <stp/>
        <stp>000660F</stp>
        <stp>매도호가</stp>
        <tr r="H61" s="1"/>
      </tp>
    </main>
    <main first="hyperliquid.rtd">
      <tp>
        <v>47.289000000000001</v>
        <stp/>
        <stp>xyz:SMSN</stp>
        <stp>askqty1</stp>
        <stp>0.1</stp>
        <tr r="G8" s="1"/>
      </tp>
    </main>
    <main first="ls.rtd">
      <tp>
        <v>283000</v>
        <stp/>
        <stp>005930</stp>
        <stp>매도호가</stp>
        <tr r="H58" s="1"/>
      </tp>
    </main>
    <main first="hyperliquid.rtd">
      <tp>
        <v>440.88399999999996</v>
        <stp/>
        <stp>xyz:SMSN</stp>
        <stp>bidqty1</stp>
        <stp>0.1</stp>
        <tr r="E8" s="1"/>
      </tp>
    </main>
    <main first="binance.rtd">
      <tp>
        <v>167</v>
        <stp/>
        <stp>SKHYUSDT</stp>
        <stp>ask1</stp>
        <stp>0.5</stp>
        <tr r="F36" s="1"/>
      </tp>
    </main>
    <main first="ls.rtd">
      <tp>
        <v>1741000</v>
        <stp/>
        <stp>000660</stp>
        <stp>매도호가</stp>
        <tr r="H60" s="1"/>
      </tp>
    </main>
    <main first="binance.rtd">
      <tp>
        <v>217.81</v>
        <stp/>
        <stp>SAMSUNGUSDT</stp>
        <stp>bidqty1</stp>
        <stp>0.1</stp>
        <tr r="E34" s="1"/>
      </tp>
    </main>
    <main first="hyperliquid.rtd">
      <tp>
        <v>1035.27</v>
        <stp/>
        <stp>xyz:SKHY</stp>
        <stp>bidqty1</stp>
        <stp>0.5</stp>
        <tr r="E10" s="1"/>
      </tp>
      <tp>
        <v>153.45400000000001</v>
        <stp/>
        <stp>xyz:SKHX</stp>
        <stp>bidqty1</stp>
        <stp>0.5</stp>
        <tr r="E7" s="1"/>
      </tp>
    </main>
    <main first="binance.rtd">
      <tp>
        <v>8.18</v>
        <stp/>
        <stp>SAMSUNGUSDT</stp>
        <stp>askqty1</stp>
        <stp>0.1</stp>
        <tr r="G34" s="1"/>
      </tp>
    </main>
    <main first="hyperliquid.rtd">
      <tp>
        <v>13.122999999999999</v>
        <stp/>
        <stp>xyz:SKHX</stp>
        <stp>askqty1</stp>
        <stp>0.5</stp>
        <tr r="G7" s="1"/>
      </tp>
      <tp>
        <v>4826.96</v>
        <stp/>
        <stp>xyz:SKHY</stp>
        <stp>askqty1</stp>
        <stp>0.5</stp>
        <tr r="G10" s="1"/>
      </tp>
    </main>
    <main first="ls.rtd">
      <tp t="s">
        <v>-</v>
        <stp/>
        <stp>000660</stp>
        <stp>예상체결가</stp>
        <tr r="K60" s="1"/>
      </tp>
      <tp t="s">
        <v>-</v>
        <stp/>
        <stp>005930</stp>
        <stp>예상체결가</stp>
        <tr r="K58" s="1"/>
      </tp>
      <tp t="s">
        <v>-</v>
        <stp/>
        <stp>005380</stp>
        <stp>예상체결가</stp>
        <tr r="K62" s="1"/>
      </tp>
      <tp t="s">
        <v>-</v>
        <stp/>
        <stp>000660</stp>
        <stp>예상체결량</stp>
        <tr r="L60" s="1"/>
      </tp>
      <tp t="s">
        <v>-</v>
        <stp/>
        <stp>005380</stp>
        <stp>예상체결량</stp>
        <tr r="L62" s="1"/>
      </tp>
      <tp t="s">
        <v>-</v>
        <stp/>
        <stp>005930</stp>
        <stp>예상체결량</stp>
        <tr r="L58" s="1"/>
      </tp>
    </main>
    <main first="binance.rtd">
      <tp>
        <v>166.5</v>
        <stp/>
        <stp>SKHYUSDT</stp>
        <stp>bid1</stp>
        <stp>0.5</stp>
        <tr r="D36" s="1"/>
      </tp>
    </main>
    <main first="ls.rtd">
      <tp>
        <v>31</v>
        <stp/>
        <stp>USD</stp>
        <stp>잔존일</stp>
        <tr r="E65" s="1"/>
        <tr r="O12" s="1"/>
      </tp>
    </main>
    <main first="hyperliquid.rtd">
      <tp>
        <v>-1.4874140000000001E-4</v>
        <stp/>
        <stp>xyz:HYUNDAI</stp>
        <stp>fundingrate</stp>
        <tr r="H9" s="1"/>
      </tp>
    </main>
    <main first="ls.rtd">
      <tp>
        <v>417</v>
        <stp/>
        <stp>005380</stp>
        <stp>매도잔량</stp>
        <tr r="I62" s="1"/>
      </tp>
      <tp>
        <v>991</v>
        <stp/>
        <stp>000660F</stp>
        <stp>매도잔량</stp>
        <tr r="I61" s="1"/>
      </tp>
      <tp>
        <v>16</v>
        <stp/>
        <stp>005380F</stp>
        <stp>매도잔량</stp>
        <tr r="I63" s="1"/>
      </tp>
      <tp>
        <v>4699</v>
        <stp/>
        <stp>005930F</stp>
        <stp>매도잔량</stp>
        <tr r="I59" s="1"/>
      </tp>
    </main>
    <main first="binance.rtd">
      <tp>
        <v>14.860000000000001</v>
        <stp/>
        <stp>SKHYNIXUSDT</stp>
        <stp>askqty1</stp>
        <stp>0.1</stp>
        <tr r="G33" s="1"/>
      </tp>
      <tp>
        <v>36.1</v>
        <stp/>
        <stp>SKHYNIXUSDT</stp>
        <stp>bidqty1</stp>
        <stp>0.1</stp>
        <tr r="E33" s="1"/>
      </tp>
    </main>
    <main first="ls.rtd">
      <tp>
        <v>18115</v>
        <stp/>
        <stp>005930</stp>
        <stp>매도잔량</stp>
        <tr r="I58" s="1"/>
      </tp>
    </main>
    <main first="hyperliquid.rtd">
      <tp>
        <v>298.52999999999997</v>
        <stp/>
        <stp>xyz:HYUNDAI</stp>
        <stp>last</stp>
        <tr r="B9" s="1"/>
      </tp>
    </main>
    <main first="binance.rtd">
      <tp>
        <v>0</v>
        <stp/>
        <stp>SKHYUSDT</stp>
        <stp>fundingrate</stp>
        <tr r="H36" s="1"/>
      </tp>
      <tp t="s">
        <v>1:06:06</v>
        <stp/>
        <stp>SKHYNIXUSDT</stp>
        <stp>countdown</stp>
        <tr r="J33" s="1"/>
      </tp>
    </main>
    <main first="ls.rtd">
      <tp>
        <v>3431</v>
        <stp/>
        <stp>000660</stp>
        <stp>매도잔량</stp>
        <tr r="I60" s="1"/>
      </tp>
      <tp>
        <v>1386.3</v>
        <stp/>
        <stp>USD~2</stp>
        <stp>매도호가</stp>
        <tr r="E71" s="1"/>
      </tp>
    </main>
    <main first="hyperliquid.rtd">
      <tp>
        <v>6.2500000000000003E-6</v>
        <stp/>
        <stp>xyz:SKHY</stp>
        <stp>fundingrate_est</stp>
        <tr r="I10" s="1"/>
      </tp>
      <tp>
        <v>3.6940000000000001E-7</v>
        <stp/>
        <stp>xyz:SKHX</stp>
        <stp>fundingrate_est</stp>
        <tr r="I7" s="1"/>
      </tp>
    </main>
    <main first="binance.rtd">
      <tp>
        <v>-8.8129999999999998E-5</v>
        <stp/>
        <stp>SAMSUNGUSDT</stp>
        <stp>fundingrate_est</stp>
        <tr r="I34" s="1"/>
      </tp>
    </main>
    <main first="hyperliquid.rtd">
      <tp>
        <v>298.2</v>
        <stp/>
        <stp>xyz:HYUNDAI</stp>
        <stp>bid1</stp>
        <stp>0.2</stp>
        <tr r="D9" s="1"/>
      </tp>
    </main>
    <main first="ls.rtd">
      <tp t="s">
        <v>시간외종가</v>
        <stp/>
        <stp>005380</stp>
        <stp>장운영</stp>
        <tr r="P62" s="1"/>
      </tp>
      <tp>
        <v>417000</v>
        <stp/>
        <stp>005380F~2</stp>
        <stp>매도호가</stp>
        <tr r="H68" s="1"/>
        <tr r="E74" s="1"/>
      </tp>
    </main>
    <main first="hyperliquid.rtd">
      <tp>
        <v>-1.49937E-5</v>
        <stp/>
        <stp>xyz:SMSN</stp>
        <stp>fundingrate_est</stp>
        <tr r="I8" s="1"/>
      </tp>
    </main>
    <main first="ls.rtd">
      <tp t="s">
        <v>시간외종가</v>
        <stp/>
        <stp>000660</stp>
        <stp>장운영</stp>
        <tr r="P60" s="1"/>
      </tp>
      <tp>
        <v>1753000</v>
        <stp/>
        <stp>000660F~2</stp>
        <stp>매도호가</stp>
        <tr r="H67" s="1"/>
        <tr r="E73" s="1"/>
      </tp>
      <tp t="s">
        <v>시간외종가</v>
        <stp/>
        <stp>005930</stp>
        <stp>장운영</stp>
        <tr r="P58" s="1"/>
      </tp>
      <tp>
        <v>281000</v>
        <stp/>
        <stp>005930F~2</stp>
        <stp>매도호가</stp>
        <tr r="H66" s="1"/>
        <tr r="E72" s="1"/>
      </tp>
    </main>
    <main first="binance.rtd">
      <tp>
        <v>166.66</v>
        <stp/>
        <stp>SKHYUSDT</stp>
        <stp>last</stp>
        <tr r="B36" s="1"/>
      </tp>
    </main>
    <main first="ls.rtd">
      <tp t="s">
        <v>장마감</v>
        <stp/>
        <stp>USD</stp>
        <stp>장운영</stp>
        <tr r="P65" s="1"/>
      </tp>
      <tp t="s">
        <v>-</v>
        <stp/>
        <stp>005930F~2</stp>
        <stp>예상체결가</stp>
        <tr r="K66" s="1"/>
      </tp>
      <tp t="s">
        <v>-</v>
        <stp/>
        <stp>005930F~2</stp>
        <stp>예상체결량</stp>
        <tr r="L66" s="1"/>
      </tp>
      <tp>
        <v>9</v>
        <stp/>
        <stp>005380F~2</stp>
        <stp>매도잔량</stp>
        <tr r="I68" s="1"/>
      </tp>
      <tp>
        <v>414000</v>
        <stp/>
        <stp>005380F</stp>
        <stp>선물전일종가</stp>
        <tr r="J63" s="1"/>
        <tr r="J68" s="1"/>
      </tp>
      <tp t="s">
        <v>-</v>
        <stp/>
        <stp>000660F~2</stp>
        <stp>예상체결가</stp>
        <tr r="K67" s="1"/>
      </tp>
      <tp t="s">
        <v>-</v>
        <stp/>
        <stp>000660F~2</stp>
        <stp>예상체결량</stp>
        <tr r="L67" s="1"/>
      </tp>
      <tp>
        <v>1</v>
        <stp/>
        <stp>000660F~2</stp>
        <stp>매도잔량</stp>
        <tr r="I67" s="1"/>
      </tp>
      <tp>
        <v>1697000</v>
        <stp/>
        <stp>000660F</stp>
        <stp>선물전일종가</stp>
        <tr r="J67" s="1"/>
        <tr r="J61" s="1"/>
      </tp>
      <tp>
        <v>181</v>
        <stp/>
        <stp>005930F~2</stp>
        <stp>매도잔량</stp>
        <tr r="I66" s="1"/>
      </tp>
      <tp>
        <v>271500</v>
        <stp/>
        <stp>005930F</stp>
        <stp>선물전일종가</stp>
        <tr r="J59" s="1"/>
        <tr r="J66" s="1"/>
      </tp>
      <tp t="s">
        <v>-</v>
        <stp/>
        <stp>005380F~2</stp>
        <stp>예상체결가</stp>
        <tr r="K68" s="1"/>
      </tp>
      <tp t="s">
        <v>-</v>
        <stp/>
        <stp>005380F~2</stp>
        <stp>예상체결량</stp>
        <tr r="L68" s="1"/>
      </tp>
    </main>
    <main first="hyperliquid.rtd">
      <tp>
        <v>298.60000000000002</v>
        <stp/>
        <stp>xyz:HYUNDAI</stp>
        <stp>ask1</stp>
        <stp>0.2</stp>
        <tr r="F9" s="1"/>
      </tp>
    </main>
    <main first="binance.rtd">
      <tp>
        <v>-2.8724000000000002E-4</v>
        <stp/>
        <stp>SKHYNIXUSDT</stp>
        <stp>fundingrate_est</stp>
        <tr r="I33" s="1"/>
      </tp>
    </main>
    <main first="ls.rtd">
      <tp t="s">
        <v>시간외종가</v>
        <stp/>
        <stp>000660F~2</stp>
        <stp>장운영</stp>
        <tr r="P67" s="1"/>
      </tp>
      <tp t="s">
        <v>시간외종가</v>
        <stp/>
        <stp>005380F~2</stp>
        <stp>장운영</stp>
        <tr r="P68" s="1"/>
      </tp>
      <tp t="s">
        <v>시간외종가</v>
        <stp/>
        <stp>005930F~2</stp>
        <stp>장운영</stp>
        <tr r="P66" s="1"/>
      </tp>
    </main>
    <main first="ls.rtd">
      <tp t="s">
        <v>-</v>
        <stp/>
        <stp>000660F</stp>
        <stp>예상체결량</stp>
        <tr r="L61" s="1"/>
      </tp>
      <tp t="s">
        <v>-</v>
        <stp/>
        <stp>000660F</stp>
        <stp>예상체결가</stp>
        <tr r="K61" s="1"/>
      </tp>
    </main>
    <main first="hyperliquid.rtd">
      <tp>
        <v>-2.93335E-5</v>
        <stp/>
        <stp>xyz:SMSN</stp>
        <stp>fundingrate</stp>
        <tr r="H8" s="1"/>
      </tp>
      <tp>
        <v>1253.5</v>
        <stp/>
        <stp>xyz:SKHX</stp>
        <stp>ask1</stp>
        <stp>0.5</stp>
        <tr r="F7" s="1"/>
      </tp>
      <tp>
        <v>167</v>
        <stp/>
        <stp>xyz:SKHY</stp>
        <stp>ask1</stp>
        <stp>0.5</stp>
        <tr r="F10" s="1"/>
      </tp>
      <tp>
        <v>203.8</v>
        <stp/>
        <stp>xyz:SMSN</stp>
        <stp>bid1</stp>
        <stp>0.1</stp>
        <tr r="D8" s="1"/>
      </tp>
    </main>
    <main first="binance.rtd">
      <tp>
        <v>-4.9996999999999997E-4</v>
        <stp/>
        <stp>SAMSUNGUSDT</stp>
        <stp>fundingrate</stp>
        <tr r="H34" s="1"/>
      </tp>
    </main>
    <main first="hyperliquid.rtd">
      <tp>
        <v>6.2500000000000003E-6</v>
        <stp/>
        <stp>xyz:SKHY</stp>
        <stp>fundingrate</stp>
        <tr r="H10" s="1"/>
      </tp>
      <tp>
        <v>1.8757999999999999E-6</v>
        <stp/>
        <stp>xyz:SKHX</stp>
        <stp>fundingrate</stp>
        <tr r="H7" s="1"/>
      </tp>
    </main>
    <main first="binance.rtd">
      <tp>
        <v>203.89</v>
        <stp/>
        <stp>SAMSUNGUSDT</stp>
        <stp>last</stp>
        <tr r="B34" s="1"/>
      </tp>
    </main>
    <main first="ls.rtd">
      <tp t="s">
        <v>-</v>
        <stp/>
        <stp>005380F</stp>
        <stp>예상체결량</stp>
        <tr r="L63" s="1"/>
      </tp>
      <tp t="s">
        <v>-</v>
        <stp/>
        <stp>005930F</stp>
        <stp>예상체결량</stp>
        <tr r="L59" s="1"/>
      </tp>
      <tp t="s">
        <v>-</v>
        <stp/>
        <stp>005930F</stp>
        <stp>예상체결가</stp>
        <tr r="K59" s="1"/>
      </tp>
      <tp t="s">
        <v>-</v>
        <stp/>
        <stp>005380F</stp>
        <stp>예상체결가</stp>
        <tr r="K63" s="1"/>
      </tp>
      <tp>
        <v>436</v>
        <stp/>
        <stp>USD</stp>
        <stp>매도잔량</stp>
        <tr r="I65" s="1"/>
      </tp>
    </main>
    <main first="binance.rtd">
      <tp>
        <v>1252.5</v>
        <stp/>
        <stp>SKHYNIXUSDT</stp>
        <stp>last</stp>
        <tr r="B33" s="1"/>
      </tp>
    </main>
    <main first="hyperliquid.rtd">
      <tp t="s">
        <v>0:06:06</v>
        <stp/>
        <stp>xyz:HYUNDAI</stp>
        <stp>countdown</stp>
        <tr r="J9" s="1"/>
      </tp>
    </main>
    <main first="ls.rtd">
      <tp t="s">
        <v>15:53:53</v>
        <stp/>
        <stp>KRX</stp>
        <stp>krxtime</stp>
        <tr r="K2" s="1"/>
      </tp>
    </main>
    <main first="binance.rtd">
      <tp>
        <v>1678.2600000000002</v>
        <stp/>
        <stp>SKHYUSDT</stp>
        <stp>bidqty1</stp>
        <stp>0.5</stp>
        <tr r="E36" s="1"/>
      </tp>
      <tp>
        <v>3596.8599999999997</v>
        <stp/>
        <stp>SKHYUSDT</stp>
        <stp>askqty1</stp>
        <stp>0.5</stp>
        <tr r="G36" s="1"/>
      </tp>
    </main>
    <main first="ls.rtd">
      <tp t="s">
        <v>인증OK</v>
        <stp/>
        <stp>AUTH</stp>
        <stp>PSD9B63g7inEgSNHqPTtRBgRqrGT0QDSZT5S</stp>
        <stp>FYCHcM4DbetyGlKId91u6IpkOeX7E7hs</stp>
        <tr r="F2" s="1"/>
      </tp>
      <tp>
        <v>1386</v>
        <stp/>
        <stp>USD</stp>
        <stp>매도호가</stp>
        <tr r="H65" s="1"/>
      </tp>
    </main>
    <main first="hyperliquid.rtd">
      <tp>
        <v>1.179</v>
        <stp/>
        <stp>xyz:HYUNDAI</stp>
        <stp>askqty1</stp>
        <stp>0.2</stp>
        <tr r="G9" s="1"/>
      </tp>
      <tp>
        <v>3.2610000000000001</v>
        <stp/>
        <stp>xyz:HYUNDAI</stp>
        <stp>bidqty1</stp>
        <stp>0.2</stp>
        <tr r="E9" s="1"/>
      </tp>
      <tp>
        <v>166.5</v>
        <stp/>
        <stp>xyz:SKHY</stp>
        <stp>bid1</stp>
        <stp>0.5</stp>
        <tr r="D10" s="1"/>
      </tp>
      <tp>
        <v>1253</v>
        <stp/>
        <stp>xyz:SKHX</stp>
        <stp>bid1</stp>
        <stp>0.5</stp>
        <tr r="D7" s="1"/>
      </tp>
    </main>
    <main first="binance.rtd">
      <tp>
        <v>-1.1028800000000001E-3</v>
        <stp/>
        <stp>SKHYNIXUSDT</stp>
        <stp>fundingrate</stp>
        <tr r="H33" s="1"/>
      </tp>
    </main>
    <main first="hyperliquid.rtd">
      <tp>
        <v>203.9</v>
        <stp/>
        <stp>xyz:SMSN</stp>
        <stp>ask1</stp>
        <stp>0.1</stp>
        <tr r="F8" s="1"/>
      </tp>
    </main>
    <main first="binance.rtd">
      <tp t="s">
        <v>1:06:06</v>
        <stp/>
        <stp>SKHYUSDT</stp>
        <stp>countdown</stp>
        <tr r="J36" s="1"/>
      </tp>
    </main>
    <main first="hyperliquid.rtd">
      <tp>
        <v>1253.0999999999999</v>
        <stp/>
        <stp>xyz:SKHX</stp>
        <stp>last</stp>
        <tr r="B7" s="1"/>
      </tp>
      <tp>
        <v>166.56</v>
        <stp/>
        <stp>xyz:SKHY</stp>
        <stp>last</stp>
        <tr r="B10" s="1"/>
      </tp>
    </main>
    <main first="binance.rtd">
      <tp>
        <v>203.9</v>
        <stp/>
        <stp>SAMSUNGUSDT</stp>
        <stp>ask1</stp>
        <stp>0.1</stp>
        <tr r="F34" s="1"/>
      </tp>
    </main>
    <main first="binance.rtd">
      <tp>
        <v>1252.5999999999999</v>
        <stp/>
        <stp>SKHYNIXUSDT</stp>
        <stp>ask1</stp>
        <stp>0.1</stp>
        <tr r="F33" s="1"/>
      </tp>
    </main>
    <main first="hyperliquid.rtd">
      <tp t="s">
        <v>0:06:06</v>
        <stp/>
        <stp>xyz:SKHY</stp>
        <stp>countdown</stp>
        <tr r="J10" s="1"/>
      </tp>
      <tp t="s">
        <v>0:06:06</v>
        <stp/>
        <stp>xyz:SKHX</stp>
        <stp>countdown</stp>
        <tr r="J7" s="1"/>
      </tp>
    </main>
    <main first="binance.rtd">
      <tp>
        <v>1252.5</v>
        <stp/>
        <stp>SKHYNIXUSDT</stp>
        <stp>bid1</stp>
        <stp>0.1</stp>
        <tr r="D33" s="1"/>
      </tp>
    </main>
    <main first="ls.rtd">
      <tp t="s">
        <v>-</v>
        <stp/>
        <stp>USD</stp>
        <stp>예상체결가</stp>
        <tr r="K65" s="1"/>
      </tp>
      <tp t="s">
        <v>-</v>
        <stp/>
        <stp>USD</stp>
        <stp>예상체결량</stp>
        <tr r="L65" s="1"/>
      </tp>
      <tp t="s">
        <v>장마감</v>
        <stp/>
        <stp>005380F</stp>
        <stp>장운영</stp>
        <tr r="P63" s="1"/>
      </tp>
      <tp>
        <v>2.93E-2</v>
        <stp/>
        <stp>CD91</stp>
        <stp>rate</stp>
        <tr r="O1" s="1"/>
      </tp>
    </main>
    <main first="hyperliquid.rtd">
      <tp>
        <v>-1.504767E-4</v>
        <stp/>
        <stp>xyz:HYUNDAI</stp>
        <stp>fundingrate_est</stp>
        <tr r="I9" s="1"/>
      </tp>
    </main>
    <main first="ls.rtd">
      <tp t="s">
        <v>장마감</v>
        <stp/>
        <stp>005930F</stp>
        <stp>장운영</stp>
        <tr r="P59" s="1"/>
      </tp>
    </main>
    <main first="hyperliquid.rtd">
      <tp t="s">
        <v>0:06:06</v>
        <stp/>
        <stp>xyz:SMSN</stp>
        <stp>countdown</stp>
        <tr r="J8" s="1"/>
      </tp>
    </main>
    <main first="binance.rtd">
      <tp>
        <v>0</v>
        <stp/>
        <stp>SKHYUSDT</stp>
        <stp>fundingrate_est</stp>
        <tr r="I36" s="1"/>
      </tp>
    </main>
    <main first="hyperliquid.rtd">
      <tp>
        <v>203.83</v>
        <stp/>
        <stp>xyz:SMSN</stp>
        <stp>last</stp>
        <tr r="B8" s="1"/>
      </tp>
    </main>
    <main first="binance.rtd">
      <tp>
        <v>203.8</v>
        <stp/>
        <stp>SAMSUNGUSDT</stp>
        <stp>bid1</stp>
        <stp>0.1</stp>
        <tr r="D34" s="1"/>
      </tp>
    </main>
    <main first="ls.rtd">
      <tp t="s">
        <v>장마감</v>
        <stp/>
        <stp>000660F</stp>
        <stp>장운영</stp>
        <tr r="P61" s="1"/>
      </tp>
      <tp>
        <v>415000</v>
        <stp/>
        <stp>005380</stp>
        <stp>현재가</stp>
        <tr r="D62" s="1"/>
      </tp>
      <tp>
        <v>1740000</v>
        <stp/>
        <stp>000660</stp>
        <stp>현재가</stp>
        <tr r="D60" s="1"/>
      </tp>
      <tp>
        <v>283000</v>
        <stp/>
        <stp>005930</stp>
        <stp>현재가</stp>
        <tr r="D58" s="1"/>
      </tp>
      <tp>
        <v>1385.9</v>
        <stp/>
        <stp>USD</stp>
        <stp>매수호가</stp>
        <tr r="F65" s="1"/>
      </tp>
      <tp>
        <v>1385.9</v>
        <stp/>
        <stp>USD</stp>
        <stp>현재가</stp>
        <tr r="D65" s="1"/>
        <tr r="C71" s="1"/>
      </tp>
      <tp t="s">
        <v>-</v>
        <stp/>
        <stp>005930F</stp>
        <stp>동시이론가</stp>
        <tr r="O59" s="1"/>
      </tp>
      <tp t="s">
        <v>-</v>
        <stp/>
        <stp>005380F</stp>
        <stp>동시이론가</stp>
        <tr r="O63" s="1"/>
      </tp>
      <tp>
        <v>283454.34999999998</v>
        <stp/>
        <stp>005930F</stp>
        <stp>선물이론가</stp>
        <tr r="E59" s="1"/>
      </tp>
      <tp>
        <v>415666.27</v>
        <stp/>
        <stp>005380F</stp>
        <stp>선물이론가</stp>
        <tr r="E63" s="1"/>
      </tp>
      <tp t="s">
        <v>-</v>
        <stp/>
        <stp>000660F</stp>
        <stp>동시이론가</stp>
        <tr r="O61" s="1"/>
      </tp>
      <tp>
        <v>271000</v>
        <stp/>
        <stp>005930</stp>
        <stp>krx전일종가</stp>
        <tr r="J58" s="1"/>
      </tp>
      <tp>
        <v>1742793.53</v>
        <stp/>
        <stp>000660F</stp>
        <stp>선물이론가</stp>
        <tr r="E61" s="1"/>
      </tp>
      <tp>
        <v>1743000</v>
        <stp/>
        <stp>000660F~2</stp>
        <stp>현재가</stp>
        <tr r="D67" s="1"/>
      </tp>
      <tp>
        <v>1691000</v>
        <stp/>
        <stp>000660</stp>
        <stp>krx전일종가</stp>
        <tr r="J60" s="1"/>
      </tp>
      <tp>
        <v>235</v>
        <stp/>
        <stp>USD</stp>
        <stp>매수잔량</stp>
        <tr r="G65" s="1"/>
      </tp>
      <tp>
        <v>410000</v>
        <stp/>
        <stp>005380F~2</stp>
        <stp>현재가</stp>
        <tr r="D68" s="1"/>
      </tp>
      <tp>
        <v>281000</v>
        <stp/>
        <stp>005930F~2</stp>
        <stp>현재가</stp>
        <tr r="D66" s="1"/>
      </tp>
      <tp>
        <v>417500</v>
        <stp/>
        <stp>005380</stp>
        <stp>krx전일종가</stp>
        <tr r="J62" s="1"/>
      </tp>
      <tp t="s">
        <v>-</v>
        <stp/>
        <stp>USD</stp>
        <stp>동시이론가</stp>
        <tr r="O65" s="1"/>
      </tp>
      <tp>
        <v>1386.1</v>
        <stp/>
        <stp>USD</stp>
        <stp>현물환율</stp>
        <tr r="O11" s="1"/>
      </tp>
    </main>
    <main first="hyperliquid.rtd">
      <tp>
        <v>166.51</v>
        <stp/>
        <stp>xyz:SKHY</stp>
        <stp>오라클</stp>
        <tr r="C10" s="1"/>
      </tp>
      <tp>
        <v>1255.4000000000001</v>
        <stp/>
        <stp>xyz:SKHX</stp>
        <stp>오라클</stp>
        <tr r="C7" s="1"/>
      </tp>
    </main>
    <main first="ls.rtd">
      <tp t="s">
        <v>15:53:52</v>
        <stp/>
        <stp>USD</stp>
        <stp>현물시각</stp>
        <tr r="H1" s="1"/>
      </tp>
    </main>
    <main first="binance.rtd">
      <tp>
        <v>166.58446649000001</v>
        <stp/>
        <stp>SKHYUSDT</stp>
        <stp>인덱스</stp>
        <tr r="C36" s="1"/>
      </tp>
    </main>
    <main first="hyperliquid.rtd">
      <tp>
        <v>204.18</v>
        <stp/>
        <stp>xyz:SMSN</stp>
        <stp>오라클</stp>
        <tr r="C8" s="1"/>
      </tp>
    </main>
    <main first="ls.rtd">
      <tp>
        <v>1701</v>
        <stp/>
        <stp>000660</stp>
        <stp>매수잔량</stp>
        <tr r="G60" s="1"/>
      </tp>
      <tp>
        <v>1385.3</v>
        <stp/>
        <stp>USD~2</stp>
        <stp>매수호가</stp>
        <tr r="F71" s="1"/>
      </tp>
      <tp>
        <v>22783</v>
        <stp/>
        <stp>005930</stp>
        <stp>매수잔량</stp>
        <tr r="G58" s="1"/>
      </tp>
      <tp>
        <v>3</v>
        <stp/>
        <stp>000660F</stp>
        <stp>매수잔량</stp>
        <tr r="G61" s="1"/>
      </tp>
      <tp>
        <v>3</v>
        <stp/>
        <stp>005380F</stp>
        <stp>매수잔량</stp>
        <tr r="G63" s="1"/>
      </tp>
      <tp>
        <v>433</v>
        <stp/>
        <stp>005930F</stp>
        <stp>매수잔량</stp>
        <tr r="G59" s="1"/>
      </tp>
      <tp>
        <v>624</v>
        <stp/>
        <stp>005380</stp>
        <stp>매수잔량</stp>
        <tr r="G62" s="1"/>
      </tp>
      <tp>
        <v>1740000</v>
        <stp/>
        <stp>000660</stp>
        <stp>매수호가</stp>
        <tr r="F60" s="1"/>
      </tp>
      <tp>
        <v>411000</v>
        <stp/>
        <stp>005380F</stp>
        <stp>현재가</stp>
        <tr r="C74" s="1"/>
        <tr r="D63" s="1"/>
        <tr r="M68" s="1"/>
        <tr r="M63" s="1"/>
      </tp>
      <tp>
        <v>282500</v>
        <stp/>
        <stp>005930</stp>
        <stp>매수호가</stp>
        <tr r="F58" s="1"/>
      </tp>
      <tp>
        <v>284000</v>
        <stp/>
        <stp>005930F</stp>
        <stp>현재가</stp>
        <tr r="M59" s="1"/>
        <tr r="C72" s="1"/>
        <tr r="M66" s="1"/>
        <tr r="D59" s="1"/>
      </tp>
      <tp>
        <v>283500</v>
        <stp/>
        <stp>005930F</stp>
        <stp>매수호가</stp>
        <tr r="F59" s="1"/>
      </tp>
      <tp>
        <v>410500</v>
        <stp/>
        <stp>005380F</stp>
        <stp>매수호가</stp>
        <tr r="F63" s="1"/>
      </tp>
      <tp>
        <v>1744000</v>
        <stp/>
        <stp>000660F</stp>
        <stp>매수호가</stp>
        <tr r="F61" s="1"/>
      </tp>
      <tp>
        <v>1730000</v>
        <stp/>
        <stp>000660</stp>
        <stp>krx현재가</stp>
        <tr r="M60" s="1"/>
      </tp>
      <tp t="s">
        <v>-</v>
        <stp/>
        <stp>005930</stp>
        <stp>동시이론가</stp>
        <tr r="O58" s="1"/>
      </tp>
      <tp t="s">
        <v>-</v>
        <stp/>
        <stp>005380</stp>
        <stp>동시이론가</stp>
        <tr r="O62" s="1"/>
      </tp>
      <tp t="s">
        <v>-</v>
        <stp/>
        <stp>000660</stp>
        <stp>동시이론가</stp>
        <tr r="O60" s="1"/>
      </tp>
      <tp>
        <v>1745000</v>
        <stp/>
        <stp>000660F</stp>
        <stp>현재가</stp>
        <tr r="M61" s="1"/>
        <tr r="M67" s="1"/>
        <tr r="D61" s="1"/>
        <tr r="C73" s="1"/>
      </tp>
      <tp>
        <v>281500</v>
        <stp/>
        <stp>005930</stp>
        <stp>krx현재가</stp>
        <tr r="M58" s="1"/>
      </tp>
      <tp>
        <v>415000</v>
        <stp/>
        <stp>005380</stp>
        <stp>krx현재가</stp>
        <tr r="M62" s="1"/>
      </tp>
      <tp>
        <v>414500</v>
        <stp/>
        <stp>005380</stp>
        <stp>매수호가</stp>
        <tr r="F62" s="1"/>
      </tp>
      <tp>
        <v>1746704.48</v>
        <stp/>
        <stp>000660F~2</stp>
        <stp>선물이론가</stp>
        <tr r="E67" s="1"/>
      </tp>
      <tp t="s">
        <v>-</v>
        <stp/>
        <stp>000660F~2</stp>
        <stp>동시이론가</stp>
        <tr r="O67" s="1"/>
      </tp>
    </main>
    <main first="binance.rtd">
      <tp>
        <v>203.69377402999999</v>
        <stp/>
        <stp>SAMSUNGUSDT</stp>
        <stp>인덱스</stp>
        <tr r="C34" s="1"/>
      </tp>
    </main>
    <main first="ls.rtd">
      <tp>
        <v>2</v>
        <stp/>
        <stp>005930F~2</stp>
        <stp>매수잔량</stp>
        <tr r="G66" s="1"/>
      </tp>
      <tp>
        <v>284090.44</v>
        <stp/>
        <stp>005930F~2</stp>
        <stp>선물이론가</stp>
        <tr r="E66" s="1"/>
      </tp>
      <tp t="s">
        <v>-</v>
        <stp/>
        <stp>005930F~2</stp>
        <stp>동시이론가</stp>
        <tr r="O66" s="1"/>
      </tp>
      <tp>
        <v>3</v>
        <stp/>
        <stp>000660F~2</stp>
        <stp>매수잔량</stp>
        <tr r="G67" s="1"/>
      </tp>
      <tp>
        <v>416599.06</v>
        <stp/>
        <stp>005380F~2</stp>
        <stp>선물이론가</stp>
        <tr r="E68" s="1"/>
      </tp>
      <tp t="s">
        <v>-</v>
        <stp/>
        <stp>005380F~2</stp>
        <stp>동시이론가</stp>
        <tr r="O68" s="1"/>
      </tp>
      <tp>
        <v>1</v>
        <stp/>
        <stp>005380F~2</stp>
        <stp>매수잔량</stp>
        <tr r="G68" s="1"/>
      </tp>
    </main>
    <main first="hyperliquid.rtd">
      <tp>
        <v>299.42</v>
        <stp/>
        <stp>xyz:HYUNDAI</stp>
        <stp>오라클</stp>
        <tr r="C9" s="1"/>
      </tp>
    </main>
    <main first="ls.rtd">
      <tp>
        <v>280500</v>
        <stp/>
        <stp>005930F~2</stp>
        <stp>매수호가</stp>
        <tr r="F66" s="1"/>
        <tr r="F72" s="1"/>
      </tp>
    </main>
    <main first="binance.rtd">
      <tp>
        <v>1250.3994041999999</v>
        <stp/>
        <stp>SKHYNIXUSDT</stp>
        <stp>인덱스</stp>
        <tr r="C33" s="1"/>
      </tp>
    </main>
    <main first="ls.rtd">
      <tp>
        <v>1730000</v>
        <stp/>
        <stp>000660F~2</stp>
        <stp>매수호가</stp>
        <tr r="F67" s="1"/>
        <tr r="F73" s="1"/>
      </tp>
      <tp>
        <v>403000</v>
        <stp/>
        <stp>005380F~2</stp>
        <stp>매수호가</stp>
        <tr r="F74" s="1"/>
        <tr r="F6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0</xdr:rowOff>
        </xdr:from>
        <xdr:to>
          <xdr:col>10</xdr:col>
          <xdr:colOff>419100</xdr:colOff>
          <xdr:row>3</xdr:row>
          <xdr:rowOff>104775</xdr:rowOff>
        </xdr:to>
        <xdr:sp macro="" textlink="">
          <xdr:nvSpPr>
            <xdr:cNvPr id="3073" name="btnToggleMU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차월표시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317638</xdr:colOff>
      <xdr:row>115</xdr:row>
      <xdr:rowOff>2485</xdr:rowOff>
    </xdr:from>
    <xdr:to>
      <xdr:col>8</xdr:col>
      <xdr:colOff>479586</xdr:colOff>
      <xdr:row>115</xdr:row>
      <xdr:rowOff>200053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727E0BB2-8563-7460-78B0-743AA58BD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01942" y="13047594"/>
          <a:ext cx="161948" cy="197568"/>
        </a:xfrm>
        <a:prstGeom prst="rect">
          <a:avLst/>
        </a:prstGeom>
      </xdr:spPr>
    </xdr:pic>
    <xdr:clientData/>
  </xdr:twoCellAnchor>
  <xdr:twoCellAnchor editAs="oneCell">
    <xdr:from>
      <xdr:col>4</xdr:col>
      <xdr:colOff>82826</xdr:colOff>
      <xdr:row>123</xdr:row>
      <xdr:rowOff>8283</xdr:rowOff>
    </xdr:from>
    <xdr:to>
      <xdr:col>5</xdr:col>
      <xdr:colOff>14209</xdr:colOff>
      <xdr:row>123</xdr:row>
      <xdr:rowOff>173962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FBF0C6F0-E535-533F-533D-CCC053329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24739" y="25477305"/>
          <a:ext cx="759644" cy="165679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5</xdr:col>
      <xdr:colOff>843027</xdr:colOff>
      <xdr:row>123</xdr:row>
      <xdr:rowOff>0</xdr:rowOff>
    </xdr:from>
    <xdr:to>
      <xdr:col>6</xdr:col>
      <xdr:colOff>809342</xdr:colOff>
      <xdr:row>123</xdr:row>
      <xdr:rowOff>194258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9987AF47-89E8-7CAE-CF64-D835204B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13201" y="19464130"/>
          <a:ext cx="827706" cy="194258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128</xdr:row>
      <xdr:rowOff>204851</xdr:rowOff>
    </xdr:from>
    <xdr:to>
      <xdr:col>5</xdr:col>
      <xdr:colOff>34507</xdr:colOff>
      <xdr:row>129</xdr:row>
      <xdr:rowOff>194258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A5988BD9-21AB-6893-7766-B26B1634CD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41913" y="20704308"/>
          <a:ext cx="862768" cy="196472"/>
        </a:xfrm>
        <a:prstGeom prst="rect">
          <a:avLst/>
        </a:prstGeom>
      </xdr:spPr>
    </xdr:pic>
    <xdr:clientData/>
  </xdr:twoCellAnchor>
  <xdr:twoCellAnchor editAs="oneCell">
    <xdr:from>
      <xdr:col>6</xdr:col>
      <xdr:colOff>8676</xdr:colOff>
      <xdr:row>129</xdr:row>
      <xdr:rowOff>0</xdr:rowOff>
    </xdr:from>
    <xdr:to>
      <xdr:col>6</xdr:col>
      <xdr:colOff>838740</xdr:colOff>
      <xdr:row>129</xdr:row>
      <xdr:rowOff>183488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4642B5A9-F92E-D7F5-58AF-F3BA06C98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740241" y="20706522"/>
          <a:ext cx="830064" cy="183488"/>
        </a:xfrm>
        <a:prstGeom prst="rect">
          <a:avLst/>
        </a:prstGeom>
      </xdr:spPr>
    </xdr:pic>
    <xdr:clientData/>
  </xdr:twoCellAnchor>
  <xdr:twoCellAnchor>
    <xdr:from>
      <xdr:col>12</xdr:col>
      <xdr:colOff>803413</xdr:colOff>
      <xdr:row>114</xdr:row>
      <xdr:rowOff>149087</xdr:rowOff>
    </xdr:from>
    <xdr:to>
      <xdr:col>14</xdr:col>
      <xdr:colOff>654326</xdr:colOff>
      <xdr:row>114</xdr:row>
      <xdr:rowOff>198783</xdr:rowOff>
    </xdr:to>
    <xdr:cxnSp macro="">
      <xdr:nvCxnSpPr>
        <xdr:cNvPr id="10" name="직선 화살표 연결선 9">
          <a:extLst>
            <a:ext uri="{FF2B5EF4-FFF2-40B4-BE49-F238E27FC236}">
              <a16:creationId xmlns:a16="http://schemas.microsoft.com/office/drawing/2014/main" id="{12758FCE-D40D-5E9A-FDDA-51BEAF72B90B}"/>
            </a:ext>
          </a:extLst>
        </xdr:cNvPr>
        <xdr:cNvCxnSpPr/>
      </xdr:nvCxnSpPr>
      <xdr:spPr>
        <a:xfrm>
          <a:off x="11405152" y="17749630"/>
          <a:ext cx="1366631" cy="4969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140804</xdr:colOff>
      <xdr:row>129</xdr:row>
      <xdr:rowOff>24848</xdr:rowOff>
    </xdr:from>
    <xdr:to>
      <xdr:col>14</xdr:col>
      <xdr:colOff>869674</xdr:colOff>
      <xdr:row>133</xdr:row>
      <xdr:rowOff>99391</xdr:rowOff>
    </xdr:to>
    <xdr:cxnSp macro="">
      <xdr:nvCxnSpPr>
        <xdr:cNvPr id="12" name="직선 화살표 연결선 11">
          <a:extLst>
            <a:ext uri="{FF2B5EF4-FFF2-40B4-BE49-F238E27FC236}">
              <a16:creationId xmlns:a16="http://schemas.microsoft.com/office/drawing/2014/main" id="{B40CEA8B-21C1-F56F-62FF-704C69886C86}"/>
            </a:ext>
          </a:extLst>
        </xdr:cNvPr>
        <xdr:cNvCxnSpPr/>
      </xdr:nvCxnSpPr>
      <xdr:spPr>
        <a:xfrm flipV="1">
          <a:off x="9790043" y="26736261"/>
          <a:ext cx="3420718" cy="90280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99392</xdr:colOff>
      <xdr:row>77</xdr:row>
      <xdr:rowOff>198783</xdr:rowOff>
    </xdr:from>
    <xdr:to>
      <xdr:col>2</xdr:col>
      <xdr:colOff>356603</xdr:colOff>
      <xdr:row>78</xdr:row>
      <xdr:rowOff>201297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F049BB1A-7085-10AD-46F9-E3DC98C11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252870" y="16142805"/>
          <a:ext cx="257211" cy="209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dbkim@ls-sec.co.kr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109"/>
  <sheetViews>
    <sheetView tabSelected="1" workbookViewId="0">
      <selection activeCell="C78" sqref="C78"/>
    </sheetView>
  </sheetViews>
  <sheetFormatPr defaultRowHeight="16.5"/>
  <cols>
    <col min="1" max="1" width="21" customWidth="1"/>
    <col min="2" max="2" width="12.125" customWidth="1"/>
    <col min="3" max="3" width="14.25" customWidth="1"/>
    <col min="4" max="4" width="12.875" customWidth="1"/>
    <col min="5" max="6" width="11.625" customWidth="1"/>
    <col min="7" max="7" width="11" customWidth="1"/>
    <col min="8" max="8" width="11.625" customWidth="1"/>
    <col min="9" max="9" width="11.125" customWidth="1"/>
    <col min="10" max="10" width="14.125" customWidth="1"/>
    <col min="11" max="11" width="11.125" customWidth="1"/>
    <col min="12" max="12" width="10.875" customWidth="1"/>
    <col min="13" max="13" width="11.75" customWidth="1"/>
    <col min="14" max="14" width="9.25" customWidth="1"/>
    <col min="15" max="15" width="12" customWidth="1"/>
    <col min="16" max="16" width="11.875" customWidth="1"/>
    <col min="17" max="17" width="10.5" style="47" customWidth="1"/>
    <col min="18" max="18" width="9" customWidth="1"/>
    <col min="19" max="19" width="12.375" customWidth="1"/>
    <col min="20" max="22" width="9" customWidth="1"/>
    <col min="23" max="23" width="13" customWidth="1"/>
    <col min="24" max="24" width="9" customWidth="1"/>
    <col min="25" max="25" width="11.25" customWidth="1"/>
    <col min="26" max="26" width="9" customWidth="1"/>
    <col min="27" max="28" width="11.5" bestFit="1" customWidth="1"/>
    <col min="29" max="29" width="11" customWidth="1"/>
    <col min="30" max="30" width="9.875" bestFit="1" customWidth="1"/>
    <col min="31" max="32" width="12.625" bestFit="1" customWidth="1"/>
    <col min="33" max="33" width="10.75" customWidth="1"/>
    <col min="34" max="34" width="4.75" customWidth="1"/>
    <col min="35" max="36" width="10.75" style="59" customWidth="1"/>
    <col min="37" max="37" width="9.25" bestFit="1" customWidth="1"/>
    <col min="38" max="38" width="12.5" customWidth="1"/>
    <col min="39" max="39" width="13" customWidth="1"/>
  </cols>
  <sheetData>
    <row r="1" spans="1:41" ht="20.25" customHeight="1" thickTop="1" thickBot="1">
      <c r="A1" s="1" t="s">
        <v>0</v>
      </c>
      <c r="H1" s="51" t="str">
        <f>RTD("ls.rtd",,"USD","현물시각")</f>
        <v>15:53:52</v>
      </c>
      <c r="I1" s="147">
        <f ca="1">IF(M6="외환현물사용",IF(N($O$11)&gt;0,$O$11,RTD("exrate.rtd",,"USDKRWSPOT","price")),$O$12)</f>
        <v>1386.1</v>
      </c>
      <c r="J1" s="99" t="s">
        <v>135</v>
      </c>
      <c r="K1" s="43">
        <f ca="1">NOW()</f>
        <v>46255.662428587966</v>
      </c>
      <c r="N1" s="120" t="s">
        <v>571</v>
      </c>
      <c r="O1" s="319">
        <f>RTD("ls.rtd",,"CD91","rate")</f>
        <v>2.93E-2</v>
      </c>
      <c r="P1" t="s">
        <v>573</v>
      </c>
      <c r="AA1" s="61" t="s">
        <v>88</v>
      </c>
      <c r="AH1" s="95"/>
      <c r="AL1" s="100"/>
      <c r="AM1" s="100"/>
    </row>
    <row r="2" spans="1:41" ht="18" thickTop="1">
      <c r="A2" s="4" t="s">
        <v>2</v>
      </c>
      <c r="B2" s="5" t="s">
        <v>376</v>
      </c>
      <c r="C2" s="4" t="s">
        <v>375</v>
      </c>
      <c r="D2" s="6" t="s">
        <v>377</v>
      </c>
      <c r="E2" s="4" t="s">
        <v>3</v>
      </c>
      <c r="F2" s="7" t="str">
        <f>RTD("ls.rtd",,"AUTH",B2,D2)</f>
        <v>인증OK</v>
      </c>
      <c r="G2" s="2"/>
      <c r="I2" s="51"/>
      <c r="J2" s="3" t="s">
        <v>1</v>
      </c>
      <c r="K2" s="148" t="str">
        <f>RTD("ls.rtd",,"KRX","krxtime")</f>
        <v>15:53:53</v>
      </c>
      <c r="N2" s="120" t="s">
        <v>592</v>
      </c>
      <c r="O2" s="158">
        <v>4.0000000000000001E-3</v>
      </c>
      <c r="AH2" s="95"/>
      <c r="AL2" s="100"/>
      <c r="AM2" s="100"/>
    </row>
    <row r="3" spans="1:41">
      <c r="A3" s="8" t="s">
        <v>4</v>
      </c>
      <c r="N3" t="s">
        <v>595</v>
      </c>
      <c r="Q3"/>
      <c r="AA3" s="100" t="s">
        <v>108</v>
      </c>
      <c r="AN3" s="100" t="s">
        <v>109</v>
      </c>
      <c r="AO3" s="100"/>
    </row>
    <row r="4" spans="1:41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O4" s="30"/>
      <c r="P4" s="30"/>
      <c r="Q4" s="48"/>
      <c r="AN4" s="100"/>
      <c r="AO4" s="100"/>
    </row>
    <row r="5" spans="1:41" ht="17.25" customHeight="1" thickBot="1">
      <c r="A5" s="381" t="s">
        <v>5</v>
      </c>
      <c r="B5" s="382"/>
      <c r="C5" s="382"/>
      <c r="D5" s="382"/>
      <c r="E5" s="382"/>
      <c r="F5" s="382"/>
      <c r="G5" s="382"/>
      <c r="H5" s="382"/>
      <c r="I5" s="382"/>
      <c r="J5" s="382"/>
      <c r="K5" s="382"/>
      <c r="L5" s="30"/>
      <c r="M5" s="30"/>
      <c r="N5" s="30"/>
      <c r="O5" s="30"/>
      <c r="P5" s="42"/>
      <c r="Q5" s="49"/>
      <c r="AA5" s="100" t="s">
        <v>110</v>
      </c>
      <c r="AD5" t="s">
        <v>543</v>
      </c>
      <c r="AG5" s="69" t="s">
        <v>113</v>
      </c>
      <c r="AH5" s="69"/>
      <c r="AI5" t="s">
        <v>552</v>
      </c>
      <c r="AJ5" s="70"/>
      <c r="AK5" s="69"/>
      <c r="AN5" s="69" t="s">
        <v>79</v>
      </c>
      <c r="AO5" s="69"/>
    </row>
    <row r="6" spans="1:41" ht="17.25" thickBot="1">
      <c r="A6" s="31" t="s">
        <v>6</v>
      </c>
      <c r="B6" s="31" t="s">
        <v>7</v>
      </c>
      <c r="C6" s="31" t="s">
        <v>8</v>
      </c>
      <c r="D6" s="31" t="s">
        <v>9</v>
      </c>
      <c r="E6" s="31" t="s">
        <v>10</v>
      </c>
      <c r="F6" s="31" t="s">
        <v>11</v>
      </c>
      <c r="G6" s="31" t="s">
        <v>12</v>
      </c>
      <c r="H6" s="31" t="s">
        <v>13</v>
      </c>
      <c r="I6" s="31" t="s">
        <v>14</v>
      </c>
      <c r="J6" s="31" t="s">
        <v>15</v>
      </c>
      <c r="K6" s="31" t="s">
        <v>16</v>
      </c>
      <c r="L6" s="30" t="s">
        <v>268</v>
      </c>
      <c r="M6" s="144" t="str">
        <f ca="1">IF(AND(P6&gt;N6,P6&lt;O6),"외환현물사용","이론가")</f>
        <v>외환현물사용</v>
      </c>
      <c r="N6" s="145">
        <v>0.29166666666666669</v>
      </c>
      <c r="O6" s="146">
        <v>0.75694444444444442</v>
      </c>
      <c r="P6" s="429">
        <f ca="1">NOW()-TODAY()</f>
        <v>0.66242858796613291</v>
      </c>
      <c r="Q6" s="430"/>
      <c r="R6" s="30"/>
      <c r="AA6" t="s">
        <v>76</v>
      </c>
      <c r="AB6" t="s">
        <v>77</v>
      </c>
      <c r="AC6" t="s">
        <v>78</v>
      </c>
      <c r="AD6" t="s">
        <v>83</v>
      </c>
      <c r="AE6" t="s">
        <v>84</v>
      </c>
      <c r="AF6" t="s">
        <v>85</v>
      </c>
      <c r="AG6" s="69" t="s">
        <v>82</v>
      </c>
      <c r="AH6" s="69"/>
      <c r="AJ6" s="70" t="s">
        <v>76</v>
      </c>
      <c r="AK6" s="69" t="s">
        <v>77</v>
      </c>
      <c r="AL6" s="70" t="s">
        <v>78</v>
      </c>
      <c r="AN6" s="69" t="s">
        <v>77</v>
      </c>
      <c r="AO6" s="69" t="s">
        <v>78</v>
      </c>
    </row>
    <row r="7" spans="1:41">
      <c r="A7" s="32" t="s">
        <v>17</v>
      </c>
      <c r="B7" s="33">
        <f>IF($A7="","",RTD("hyperliquid.rtd",,$A7,"last"))</f>
        <v>1253.0999999999999</v>
      </c>
      <c r="C7" s="33">
        <f>IF($A7="","",RTD("hyperliquid.rtd",,$A7,"오라클"))</f>
        <v>1255.4000000000001</v>
      </c>
      <c r="D7" s="33">
        <f>IF($A7="","",RTD("hyperliquid.rtd",,$A7,"bid1",$K7))</f>
        <v>1253</v>
      </c>
      <c r="E7" s="34">
        <f>IF($A7="","",RTD("hyperliquid.rtd",,$A7,"bidqty1",$K7))</f>
        <v>153.45400000000001</v>
      </c>
      <c r="F7" s="33">
        <f>IF($A7="","",RTD("hyperliquid.rtd",,$A7,"ask1",$K7))</f>
        <v>1253.5</v>
      </c>
      <c r="G7" s="34">
        <f>IF($A7="","",RTD("hyperliquid.rtd",,$A7,"askqty1",$K7))</f>
        <v>13.122999999999999</v>
      </c>
      <c r="H7" s="58">
        <f>IF($A7="","",RTD("hyperliquid.rtd",,$A7,"fundingrate"))</f>
        <v>1.8757999999999999E-6</v>
      </c>
      <c r="I7" s="58">
        <f>IF($A7="","",RTD("hyperliquid.rtd",,$A7,"fundingrate_est"))</f>
        <v>3.6940000000000001E-7</v>
      </c>
      <c r="J7" s="35" t="str">
        <f>IF($A7="","",RTD("hyperliquid.rtd",,$A7,"countdown"))</f>
        <v>0:06:06</v>
      </c>
      <c r="K7" s="36">
        <v>0.5</v>
      </c>
      <c r="L7" s="42">
        <f>K7/B7</f>
        <v>3.9901045407389675E-4</v>
      </c>
      <c r="M7" s="431" t="s">
        <v>134</v>
      </c>
      <c r="N7" s="138"/>
      <c r="O7" s="139"/>
      <c r="P7" s="140"/>
      <c r="Q7" s="432"/>
      <c r="R7" s="30"/>
      <c r="Z7" s="48" t="str">
        <f>A7</f>
        <v>xyz:SKHX</v>
      </c>
      <c r="AA7" s="101">
        <f ca="1">B7*$I$1</f>
        <v>1736921.9099999997</v>
      </c>
      <c r="AB7" s="101">
        <f ca="1">F7*$I$1</f>
        <v>1737476.3499999999</v>
      </c>
      <c r="AC7" s="101">
        <f ca="1">D7*$I$1</f>
        <v>1736783.2999999998</v>
      </c>
      <c r="AD7" s="52">
        <f t="shared" ref="AD7:AF9" ca="1" si="0">(AA7-$AG7)/$AG7</f>
        <v>-1.7690172413794922E-3</v>
      </c>
      <c r="AE7" s="52">
        <f t="shared" ca="1" si="0"/>
        <v>-1.450373563218471E-3</v>
      </c>
      <c r="AF7" s="52">
        <f t="shared" ca="1" si="0"/>
        <v>-1.8486781609196473E-3</v>
      </c>
      <c r="AG7" s="103">
        <f>$D$60</f>
        <v>1740000</v>
      </c>
      <c r="AI7" s="256">
        <f>메인!J17</f>
        <v>0</v>
      </c>
      <c r="AJ7" s="75" t="e">
        <f ca="1">(AA7-AI7)/AI7</f>
        <v>#DIV/0!</v>
      </c>
      <c r="AK7" s="75" t="e">
        <f ca="1">(AB7-AI7)/AI7</f>
        <v>#DIV/0!</v>
      </c>
      <c r="AL7" s="75" t="e">
        <f ca="1">(AC7-AI7)/AI7</f>
        <v>#DIV/0!</v>
      </c>
      <c r="AN7" s="101">
        <f ca="1">G7*$AA7*0.0001</f>
        <v>2279.3626224929999</v>
      </c>
      <c r="AO7" s="101">
        <f ca="1">E7*$AA7*0.0001</f>
        <v>26653.761477713997</v>
      </c>
    </row>
    <row r="8" spans="1:41">
      <c r="A8" s="32" t="s">
        <v>18</v>
      </c>
      <c r="B8" s="33">
        <f>IF($A8="","",RTD("hyperliquid.rtd",,$A8,"last"))</f>
        <v>203.83</v>
      </c>
      <c r="C8" s="33">
        <f>IF($A8="","",RTD("hyperliquid.rtd",,$A8,"오라클"))</f>
        <v>204.18</v>
      </c>
      <c r="D8" s="33">
        <f>IF($A8="","",RTD("hyperliquid.rtd",,$A8,"bid1",$K8))</f>
        <v>203.8</v>
      </c>
      <c r="E8" s="34">
        <f>IF($A8="","",RTD("hyperliquid.rtd",,$A8,"bidqty1",$K8))</f>
        <v>440.88399999999996</v>
      </c>
      <c r="F8" s="33">
        <f>IF($A8="","",RTD("hyperliquid.rtd",,$A8,"ask1",$K8))</f>
        <v>203.9</v>
      </c>
      <c r="G8" s="34">
        <f>IF($A8="","",RTD("hyperliquid.rtd",,$A8,"askqty1",$K8))</f>
        <v>47.289000000000001</v>
      </c>
      <c r="H8" s="58">
        <f>IF($A8="","",RTD("hyperliquid.rtd",,$A8,"fundingrate"))</f>
        <v>-2.93335E-5</v>
      </c>
      <c r="I8" s="58">
        <f>IF($A8="","",RTD("hyperliquid.rtd",,$A8,"fundingrate_est"))</f>
        <v>-1.49937E-5</v>
      </c>
      <c r="J8" s="35" t="str">
        <f>IF($A8="","",RTD("hyperliquid.rtd",,$A8,"countdown"))</f>
        <v>0:06:06</v>
      </c>
      <c r="K8" s="36">
        <v>0.1</v>
      </c>
      <c r="L8" s="42">
        <f>K8/B8</f>
        <v>4.906049158612569E-4</v>
      </c>
      <c r="M8" s="433" t="s">
        <v>593</v>
      </c>
      <c r="N8" s="138"/>
      <c r="O8" s="139"/>
      <c r="P8" s="141"/>
      <c r="Q8" s="432"/>
      <c r="R8" s="30"/>
      <c r="Z8" s="48" t="str">
        <f>A8</f>
        <v>xyz:SMSN</v>
      </c>
      <c r="AA8" s="101">
        <f ca="1">B8*$I$1</f>
        <v>282528.76299999998</v>
      </c>
      <c r="AB8" s="101">
        <f ca="1">F8*$I$1</f>
        <v>282625.78999999998</v>
      </c>
      <c r="AC8" s="101">
        <f ca="1">D8*$I$1</f>
        <v>282487.18</v>
      </c>
      <c r="AD8" s="52">
        <f t="shared" ca="1" si="0"/>
        <v>-1.6651484098940735E-3</v>
      </c>
      <c r="AE8" s="52">
        <f t="shared" ca="1" si="0"/>
        <v>-1.3222968197880599E-3</v>
      </c>
      <c r="AF8" s="52">
        <f t="shared" ca="1" si="0"/>
        <v>-1.812084805653735E-3</v>
      </c>
      <c r="AG8" s="103">
        <f>$D$58</f>
        <v>283000</v>
      </c>
      <c r="AI8" s="256">
        <f>메인!R17</f>
        <v>0</v>
      </c>
      <c r="AJ8" s="75" t="e">
        <f ca="1">(AA8-AI8)/AI8</f>
        <v>#DIV/0!</v>
      </c>
      <c r="AK8" s="75" t="e">
        <f ca="1">(AB8-AI8)/AI8</f>
        <v>#DIV/0!</v>
      </c>
      <c r="AL8" s="75" t="e">
        <f ca="1">(AC8-AI8)/AI8</f>
        <v>#DIV/0!</v>
      </c>
      <c r="AN8" s="101">
        <f ca="1">G8*$AA8*0.0001</f>
        <v>1336.0502673507001</v>
      </c>
      <c r="AO8" s="101">
        <f ca="1">E8*$AA8*0.0001</f>
        <v>12456.241114649198</v>
      </c>
    </row>
    <row r="9" spans="1:41">
      <c r="A9" s="32" t="s">
        <v>19</v>
      </c>
      <c r="B9" s="33">
        <f>IF($A9="","",RTD("hyperliquid.rtd",,$A9,"last"))</f>
        <v>298.52999999999997</v>
      </c>
      <c r="C9" s="33">
        <f>IF($A9="","",RTD("hyperliquid.rtd",,$A9,"오라클"))</f>
        <v>299.42</v>
      </c>
      <c r="D9" s="33">
        <f>IF($A9="","",RTD("hyperliquid.rtd",,$A9,"bid1",$K9))</f>
        <v>298.2</v>
      </c>
      <c r="E9" s="34">
        <f>IF($A9="","",RTD("hyperliquid.rtd",,$A9,"bidqty1",$K9))</f>
        <v>3.2610000000000001</v>
      </c>
      <c r="F9" s="33">
        <f>IF($A9="","",RTD("hyperliquid.rtd",,$A9,"ask1",$K9))</f>
        <v>298.60000000000002</v>
      </c>
      <c r="G9" s="34">
        <f>IF($A9="","",RTD("hyperliquid.rtd",,$A9,"askqty1",$K9))</f>
        <v>1.179</v>
      </c>
      <c r="H9" s="58">
        <f>IF($A9="","",RTD("hyperliquid.rtd",,$A9,"fundingrate"))</f>
        <v>-1.4874140000000001E-4</v>
      </c>
      <c r="I9" s="58">
        <f>IF($A9="","",RTD("hyperliquid.rtd",,$A9,"fundingrate_est"))</f>
        <v>-1.504767E-4</v>
      </c>
      <c r="J9" s="35" t="str">
        <f>IF($A9="","",RTD("hyperliquid.rtd",,$A9,"countdown"))</f>
        <v>0:06:06</v>
      </c>
      <c r="K9" s="36">
        <v>0.2</v>
      </c>
      <c r="L9" s="42">
        <f>K9/B9</f>
        <v>6.699494188188793E-4</v>
      </c>
      <c r="M9" s="434" t="s">
        <v>136</v>
      </c>
      <c r="N9" s="142"/>
      <c r="O9" s="142"/>
      <c r="P9" s="143"/>
      <c r="Q9" s="432"/>
      <c r="R9" s="30"/>
      <c r="Z9" s="48" t="str">
        <f>A9</f>
        <v>xyz:HYUNDAI</v>
      </c>
      <c r="AA9" s="101">
        <f ca="1">B9*$I$1</f>
        <v>413792.43299999996</v>
      </c>
      <c r="AB9" s="101">
        <f ca="1">F9*$I$1</f>
        <v>413889.46</v>
      </c>
      <c r="AC9" s="101">
        <f ca="1">D9*$I$1</f>
        <v>413335.01999999996</v>
      </c>
      <c r="AD9" s="52">
        <f t="shared" ca="1" si="0"/>
        <v>-2.9098000000000943E-3</v>
      </c>
      <c r="AE9" s="52">
        <f t="shared" ca="1" si="0"/>
        <v>-2.6759999999999497E-3</v>
      </c>
      <c r="AF9" s="52">
        <f t="shared" ca="1" si="0"/>
        <v>-4.0120000000000954E-3</v>
      </c>
      <c r="AG9" s="103">
        <f>$D$62</f>
        <v>415000</v>
      </c>
      <c r="AI9" s="256"/>
      <c r="AJ9" s="120"/>
      <c r="AK9" s="120"/>
      <c r="AL9" s="120"/>
      <c r="AN9" s="101">
        <f ca="1">G9*$AA9*0.0001</f>
        <v>48.786127850699998</v>
      </c>
      <c r="AO9" s="101">
        <f ca="1">E9*$AA9*0.0001</f>
        <v>134.93771240129999</v>
      </c>
    </row>
    <row r="10" spans="1:41">
      <c r="A10" s="32" t="s">
        <v>141</v>
      </c>
      <c r="B10" s="33">
        <f>IF($A10="","",RTD("hyperliquid.rtd",,$A10,"last"))</f>
        <v>166.56</v>
      </c>
      <c r="C10" s="33">
        <f>IF($A10="","",RTD("hyperliquid.rtd",,$A10,"오라클"))</f>
        <v>166.51</v>
      </c>
      <c r="D10" s="33">
        <f>IF($A10="","",RTD("hyperliquid.rtd",,$A10,"bid1",$K10))</f>
        <v>166.5</v>
      </c>
      <c r="E10" s="34">
        <f>IF($A10="","",RTD("hyperliquid.rtd",,$A10,"bidqty1",$K10))</f>
        <v>1035.27</v>
      </c>
      <c r="F10" s="33">
        <f>IF($A10="","",RTD("hyperliquid.rtd",,$A10,"ask1",$K10))</f>
        <v>167</v>
      </c>
      <c r="G10" s="34">
        <f>IF($A10="","",RTD("hyperliquid.rtd",,$A10,"askqty1",$K10))</f>
        <v>4826.96</v>
      </c>
      <c r="H10" s="58">
        <f>IF($A10="","",RTD("hyperliquid.rtd",,$A10,"fundingrate"))</f>
        <v>6.2500000000000003E-6</v>
      </c>
      <c r="I10" s="58">
        <f>IF($A10="","",RTD("hyperliquid.rtd",,$A10,"fundingrate_est"))</f>
        <v>6.2500000000000003E-6</v>
      </c>
      <c r="J10" s="35" t="str">
        <f>IF($A10="","",RTD("hyperliquid.rtd",,$A10,"countdown"))</f>
        <v>0:06:06</v>
      </c>
      <c r="K10" s="36">
        <v>0.5</v>
      </c>
      <c r="L10" s="42">
        <f>K10/B10</f>
        <v>3.0019212295869357E-3</v>
      </c>
      <c r="M10" s="435"/>
      <c r="N10" s="59"/>
      <c r="O10" s="59"/>
      <c r="P10" s="38"/>
      <c r="Q10" s="436"/>
      <c r="R10" s="30"/>
      <c r="Z10" s="48"/>
      <c r="AA10" s="44"/>
      <c r="AI10"/>
      <c r="AN10" s="104"/>
      <c r="AO10" s="104"/>
    </row>
    <row r="11" spans="1:41">
      <c r="A11" s="30"/>
      <c r="B11" s="30"/>
      <c r="C11" s="30"/>
      <c r="D11" s="30"/>
      <c r="E11" s="37"/>
      <c r="F11" s="30"/>
      <c r="G11" s="30"/>
      <c r="H11" s="30"/>
      <c r="I11" s="30"/>
      <c r="J11" s="30"/>
      <c r="K11" s="30"/>
      <c r="L11" s="30"/>
      <c r="M11" s="435"/>
      <c r="N11" s="212" t="s">
        <v>133</v>
      </c>
      <c r="O11" s="441">
        <f>RTD("ls.rtd",,"USD","현물환율")</f>
        <v>1386.1</v>
      </c>
      <c r="P11" s="45"/>
      <c r="Q11" s="436"/>
      <c r="R11" s="30"/>
      <c r="Z11" s="48"/>
      <c r="AI11"/>
      <c r="AN11" s="104"/>
      <c r="AO11" s="104"/>
    </row>
    <row r="12" spans="1:41" ht="18" customHeight="1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437"/>
      <c r="N12" s="48" t="s">
        <v>594</v>
      </c>
      <c r="O12" s="441">
        <f>IF(AND(ISNUMBER($O$2),ISNUMBER(D65)),IFERROR(D65/(1-$O$2*RTD("ls.rtd",,$B65&amp;IF($C65="차근월물","~2",""),"잔존일")/365),"-"),"-")</f>
        <v>1386.3709863076772</v>
      </c>
      <c r="P12" s="30"/>
      <c r="Q12" s="436"/>
      <c r="R12" s="30"/>
      <c r="Z12" s="48"/>
      <c r="AI12"/>
      <c r="AN12" s="104"/>
      <c r="AO12" s="104"/>
    </row>
    <row r="13" spans="1:41" hidden="1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438"/>
      <c r="N13" s="439"/>
      <c r="O13" s="438"/>
      <c r="P13" s="438"/>
      <c r="Q13" s="440"/>
      <c r="R13" s="30"/>
      <c r="Z13" s="48"/>
      <c r="AI13"/>
      <c r="AN13" s="104"/>
      <c r="AO13" s="104"/>
    </row>
    <row r="14" spans="1:41" hidden="1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48"/>
      <c r="O14" s="30"/>
      <c r="P14" s="30"/>
      <c r="Q14" s="212"/>
      <c r="R14" s="30"/>
      <c r="Z14" s="48"/>
      <c r="AI14"/>
      <c r="AN14" s="104"/>
      <c r="AO14" s="104"/>
    </row>
    <row r="15" spans="1:41" hidden="1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48"/>
      <c r="O15" s="30"/>
      <c r="P15" s="30"/>
      <c r="Q15" s="212"/>
      <c r="R15" s="30"/>
      <c r="Z15" s="48"/>
      <c r="AI15"/>
      <c r="AN15" s="104"/>
      <c r="AO15" s="104"/>
    </row>
    <row r="16" spans="1:41" hidden="1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48"/>
      <c r="O16" s="30"/>
      <c r="P16" s="30"/>
      <c r="Q16" s="212"/>
      <c r="R16" s="30"/>
      <c r="Z16" s="48"/>
      <c r="AI16"/>
      <c r="AN16" s="104"/>
      <c r="AO16" s="104"/>
    </row>
    <row r="17" spans="1:41" hidden="1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57"/>
      <c r="O17" s="30"/>
      <c r="P17" s="30"/>
      <c r="Q17" s="212"/>
      <c r="R17" s="30"/>
      <c r="Z17" s="48"/>
      <c r="AI17"/>
      <c r="AN17" s="104"/>
      <c r="AO17" s="104"/>
    </row>
    <row r="18" spans="1:41" hidden="1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48"/>
      <c r="O18" s="30"/>
      <c r="P18" s="30"/>
      <c r="Q18" s="212"/>
      <c r="R18" s="30"/>
      <c r="Z18" s="48"/>
      <c r="AI18"/>
      <c r="AN18" s="104"/>
      <c r="AO18" s="104"/>
    </row>
    <row r="19" spans="1:41" ht="17.25" hidden="1" customHeight="1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48"/>
      <c r="O19" s="30"/>
      <c r="P19" s="30"/>
      <c r="Q19" s="212"/>
      <c r="R19" s="30"/>
      <c r="Z19" s="48"/>
      <c r="AI19"/>
      <c r="AN19" s="104"/>
      <c r="AO19" s="104"/>
    </row>
    <row r="20" spans="1:41" hidden="1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48"/>
      <c r="O20" s="30"/>
      <c r="P20" s="30"/>
      <c r="Q20" s="212"/>
      <c r="R20" s="30"/>
      <c r="Z20" s="48"/>
      <c r="AI20"/>
      <c r="AN20" s="104"/>
      <c r="AO20" s="104"/>
    </row>
    <row r="21" spans="1:41" hidden="1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7"/>
      <c r="N21" s="48"/>
      <c r="O21" s="30"/>
      <c r="P21" s="30"/>
      <c r="Q21" s="212"/>
      <c r="R21" s="30"/>
      <c r="Z21" s="48"/>
      <c r="AI21"/>
      <c r="AN21" s="104"/>
      <c r="AO21" s="104"/>
    </row>
    <row r="22" spans="1:41" hidden="1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7"/>
      <c r="N22" s="48"/>
      <c r="O22" s="30"/>
      <c r="P22" s="30"/>
      <c r="Q22" s="212"/>
      <c r="R22" s="30"/>
      <c r="Z22" s="48"/>
      <c r="AI22"/>
      <c r="AN22" s="104"/>
      <c r="AO22" s="104"/>
    </row>
    <row r="23" spans="1:41" hidden="1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7"/>
      <c r="N23" s="48"/>
      <c r="O23" s="30"/>
      <c r="P23" s="30"/>
      <c r="Q23" s="212"/>
      <c r="R23" s="30"/>
      <c r="Z23" s="48"/>
      <c r="AI23"/>
      <c r="AN23" s="104"/>
      <c r="AO23" s="104"/>
    </row>
    <row r="24" spans="1:41" hidden="1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7"/>
      <c r="N24" s="48"/>
      <c r="O24" s="30"/>
      <c r="P24" s="30"/>
      <c r="Q24" s="212"/>
      <c r="R24" s="30"/>
      <c r="Z24" s="48"/>
      <c r="AI24"/>
      <c r="AN24" s="104"/>
      <c r="AO24" s="104"/>
    </row>
    <row r="25" spans="1:41" hidden="1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7"/>
      <c r="N25" s="48"/>
      <c r="O25" s="30"/>
      <c r="P25" s="38"/>
      <c r="Q25" s="212"/>
      <c r="R25" s="30"/>
      <c r="Z25" s="48"/>
      <c r="AI25"/>
      <c r="AN25" s="104"/>
      <c r="AO25" s="104"/>
    </row>
    <row r="26" spans="1:41" hidden="1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7"/>
      <c r="N26" s="48"/>
      <c r="O26" s="30"/>
      <c r="P26" s="30"/>
      <c r="Q26" s="212"/>
      <c r="R26" s="30"/>
      <c r="Z26" s="48"/>
      <c r="AI26"/>
      <c r="AN26" s="104"/>
      <c r="AO26" s="104"/>
    </row>
    <row r="27" spans="1:41" hidden="1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7"/>
      <c r="N27" s="48"/>
      <c r="O27" s="30"/>
      <c r="P27" s="30"/>
      <c r="Q27" s="212"/>
      <c r="R27" s="30"/>
      <c r="Z27" s="48"/>
      <c r="AI27"/>
      <c r="AN27" s="104"/>
      <c r="AO27" s="104"/>
    </row>
    <row r="28" spans="1:41" hidden="1">
      <c r="A28" s="30"/>
      <c r="B28" s="30"/>
      <c r="C28" s="30"/>
      <c r="D28" s="30"/>
      <c r="E28" s="30"/>
      <c r="F28" s="30"/>
      <c r="G28" s="30"/>
      <c r="H28" s="30"/>
      <c r="I28" s="57"/>
      <c r="J28" s="30"/>
      <c r="K28" s="30"/>
      <c r="L28" s="30"/>
      <c r="M28" s="59"/>
      <c r="N28" s="59"/>
      <c r="O28" s="59"/>
      <c r="P28" s="30"/>
      <c r="Q28" s="212"/>
      <c r="R28" s="30"/>
      <c r="Z28" s="48"/>
      <c r="AI28"/>
      <c r="AN28" s="104"/>
      <c r="AO28" s="104"/>
    </row>
    <row r="29" spans="1:41" ht="1.5" customHeight="1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R29" s="30"/>
      <c r="Z29" s="48"/>
      <c r="AI29"/>
      <c r="AN29" s="104"/>
      <c r="AO29" s="104"/>
    </row>
    <row r="30" spans="1:41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R30" s="30"/>
      <c r="Z30" s="48"/>
      <c r="AI30"/>
      <c r="AN30" s="104"/>
      <c r="AO30" s="104"/>
    </row>
    <row r="31" spans="1:41" ht="17.25" customHeight="1">
      <c r="A31" s="381" t="s">
        <v>20</v>
      </c>
      <c r="B31" s="382"/>
      <c r="C31" s="382"/>
      <c r="D31" s="382"/>
      <c r="E31" s="382"/>
      <c r="F31" s="382"/>
      <c r="G31" s="382"/>
      <c r="H31" s="382"/>
      <c r="I31" s="382"/>
      <c r="J31" s="382"/>
      <c r="K31" s="382"/>
      <c r="L31" s="30"/>
      <c r="M31" s="107"/>
      <c r="N31" s="30"/>
      <c r="O31" s="30"/>
      <c r="P31" s="30"/>
      <c r="R31" s="30"/>
      <c r="Z31" s="48"/>
      <c r="AI31"/>
      <c r="AN31" s="104"/>
      <c r="AO31" s="104"/>
    </row>
    <row r="32" spans="1:41">
      <c r="A32" s="31" t="s">
        <v>6</v>
      </c>
      <c r="B32" s="31" t="s">
        <v>7</v>
      </c>
      <c r="C32" s="31" t="s">
        <v>8</v>
      </c>
      <c r="D32" s="31" t="s">
        <v>9</v>
      </c>
      <c r="E32" s="31" t="s">
        <v>10</v>
      </c>
      <c r="F32" s="31" t="s">
        <v>11</v>
      </c>
      <c r="G32" s="31" t="s">
        <v>12</v>
      </c>
      <c r="H32" s="31" t="s">
        <v>13</v>
      </c>
      <c r="I32" s="31" t="s">
        <v>14</v>
      </c>
      <c r="J32" s="31" t="s">
        <v>15</v>
      </c>
      <c r="K32" s="31" t="s">
        <v>16</v>
      </c>
      <c r="L32" s="30"/>
      <c r="M32" s="30"/>
      <c r="N32" s="30"/>
      <c r="O32" s="30"/>
      <c r="P32" s="30"/>
      <c r="R32" s="30"/>
      <c r="Z32" s="48"/>
      <c r="AI32"/>
      <c r="AN32" s="104"/>
      <c r="AO32" s="104"/>
    </row>
    <row r="33" spans="1:41">
      <c r="A33" s="32" t="s">
        <v>21</v>
      </c>
      <c r="B33" s="33">
        <f>IF($A33="","",RTD("binance.rtd",,$A33,"last"))</f>
        <v>1252.5</v>
      </c>
      <c r="C33" s="33">
        <f>IF($A33="","",RTD("binance.rtd",,$A33,"인덱스"))</f>
        <v>1250.3994041999999</v>
      </c>
      <c r="D33" s="33">
        <f>IF($A33="","",RTD("binance.rtd",,$A33,"bid1",$K33))</f>
        <v>1252.5</v>
      </c>
      <c r="E33" s="34">
        <f>IF($A33="","",RTD("binance.rtd",,$A33,"bidqty1",$K33))</f>
        <v>36.1</v>
      </c>
      <c r="F33" s="33">
        <f>IF($A33="","",RTD("binance.rtd",,$A33,"ask1",$K33))</f>
        <v>1252.5999999999999</v>
      </c>
      <c r="G33" s="34">
        <f>IF($A33="","",RTD("binance.rtd",,$A33,"askqty1",$K33))</f>
        <v>14.860000000000001</v>
      </c>
      <c r="H33" s="58">
        <f>IF($A33="","",RTD("binance.rtd",,$A33,"fundingrate"))</f>
        <v>-1.1028800000000001E-3</v>
      </c>
      <c r="I33" s="58">
        <f>IF($A33="","",RTD("binance.rtd",,$A33,"fundingrate_est"))</f>
        <v>-2.8724000000000002E-4</v>
      </c>
      <c r="J33" s="35" t="str">
        <f>IF($A33="","",RTD("binance.rtd",,$A33,"countdown"))</f>
        <v>1:06:06</v>
      </c>
      <c r="K33" s="36">
        <v>0.1</v>
      </c>
      <c r="L33" s="38"/>
      <c r="M33" s="30"/>
      <c r="N33" s="30"/>
      <c r="O33" s="30"/>
      <c r="P33" s="30"/>
      <c r="R33" s="30"/>
      <c r="Z33" s="48" t="str">
        <f>A33</f>
        <v>SKHYNIXUSDT</v>
      </c>
      <c r="AA33" s="102">
        <f ca="1">B33*$I$1</f>
        <v>1736090.25</v>
      </c>
      <c r="AB33" s="102">
        <f ca="1">F33*$I$1</f>
        <v>1736228.8599999999</v>
      </c>
      <c r="AC33" s="102">
        <f ca="1">D33*$I$1</f>
        <v>1736090.25</v>
      </c>
      <c r="AD33" s="52">
        <f ca="1">(AA33-$AG33)/$AG33</f>
        <v>-2.2469827586206895E-3</v>
      </c>
      <c r="AG33" s="103">
        <f>D60</f>
        <v>1740000</v>
      </c>
      <c r="AI33" s="50"/>
      <c r="AJ33" s="60"/>
      <c r="AN33" s="101">
        <f ca="1">G33*$AA33*0.0001</f>
        <v>2579.8301115000004</v>
      </c>
      <c r="AO33" s="101">
        <f ca="1">E33*$AA33*0.0001</f>
        <v>6267.2858025000005</v>
      </c>
    </row>
    <row r="34" spans="1:41">
      <c r="A34" s="32" t="s">
        <v>22</v>
      </c>
      <c r="B34" s="33">
        <f>IF($A34="","",RTD("binance.rtd",,$A34,"last"))</f>
        <v>203.89</v>
      </c>
      <c r="C34" s="33">
        <f>IF($A34="","",RTD("binance.rtd",,$A34,"인덱스"))</f>
        <v>203.69377402999999</v>
      </c>
      <c r="D34" s="33">
        <f>IF($A34="","",RTD("binance.rtd",,$A34,"bid1",$K34))</f>
        <v>203.8</v>
      </c>
      <c r="E34" s="34">
        <f>IF($A34="","",RTD("binance.rtd",,$A34,"bidqty1",$K34))</f>
        <v>217.81</v>
      </c>
      <c r="F34" s="33">
        <f>IF($A34="","",RTD("binance.rtd",,$A34,"ask1",$K34))</f>
        <v>203.9</v>
      </c>
      <c r="G34" s="34">
        <f>IF($A34="","",RTD("binance.rtd",,$A34,"askqty1",$K34))</f>
        <v>8.18</v>
      </c>
      <c r="H34" s="58">
        <f>IF($A34="","",RTD("binance.rtd",,$A34,"fundingrate"))</f>
        <v>-4.9996999999999997E-4</v>
      </c>
      <c r="I34" s="58">
        <f>IF($A34="","",RTD("binance.rtd",,$A34,"fundingrate_est"))</f>
        <v>-8.8129999999999998E-5</v>
      </c>
      <c r="J34" s="35" t="str">
        <f>IF($A34="","",RTD("binance.rtd",,$A34,"countdown"))</f>
        <v>1:06:06</v>
      </c>
      <c r="K34" s="36">
        <v>0.1</v>
      </c>
      <c r="L34" s="38"/>
      <c r="M34" s="30"/>
      <c r="N34" s="30"/>
      <c r="O34" s="30"/>
      <c r="P34" s="30"/>
      <c r="R34" s="30"/>
      <c r="Z34" s="48" t="str">
        <f>A34</f>
        <v>SAMSUNGUSDT</v>
      </c>
      <c r="AA34" s="102">
        <f ca="1">B34*$I$1</f>
        <v>282611.92899999995</v>
      </c>
      <c r="AB34" s="102">
        <f ca="1">F34*$I$1</f>
        <v>282625.78999999998</v>
      </c>
      <c r="AC34" s="102">
        <f ca="1">D34*$I$1</f>
        <v>282487.18</v>
      </c>
      <c r="AD34" s="52">
        <f ca="1">(AA34-$AG34)/$AG34</f>
        <v>-1.3712756183747509E-3</v>
      </c>
      <c r="AG34" s="103">
        <f>D58</f>
        <v>283000</v>
      </c>
      <c r="AI34" s="50"/>
      <c r="AJ34" s="60"/>
      <c r="AN34" s="101">
        <f ca="1">G34*$AA34*0.0001</f>
        <v>231.17655792199994</v>
      </c>
      <c r="AO34" s="101">
        <f ca="1">E34*$AA34*0.0001</f>
        <v>6155.5704255489991</v>
      </c>
    </row>
    <row r="35" spans="1:41" ht="17.25" customHeight="1">
      <c r="A35" s="32" t="s">
        <v>23</v>
      </c>
      <c r="B35" s="33"/>
      <c r="C35" s="33"/>
      <c r="D35" s="33"/>
      <c r="E35" s="34"/>
      <c r="F35" s="33"/>
      <c r="G35" s="34"/>
      <c r="H35" s="58"/>
      <c r="I35" s="58"/>
      <c r="J35" s="35"/>
      <c r="K35" s="36"/>
      <c r="L35" s="38"/>
      <c r="M35" s="30"/>
      <c r="N35" s="30"/>
      <c r="O35" s="30"/>
      <c r="P35" s="30"/>
      <c r="R35" s="30"/>
      <c r="Z35" s="48" t="str">
        <f>A35</f>
        <v>HYUNDAIUSDT</v>
      </c>
      <c r="AA35" s="102">
        <f ca="1">B35*$I$1</f>
        <v>0</v>
      </c>
      <c r="AB35" s="102">
        <f ca="1">F35*$I$1</f>
        <v>0</v>
      </c>
      <c r="AC35" s="102">
        <f ca="1">D35*$I$1</f>
        <v>0</v>
      </c>
      <c r="AD35" s="52">
        <f ca="1">(AA35-$AG35)/$AG35</f>
        <v>-1</v>
      </c>
      <c r="AG35" s="103">
        <f>D62</f>
        <v>415000</v>
      </c>
      <c r="AI35" s="50"/>
      <c r="AJ35" s="60"/>
      <c r="AN35" s="101">
        <f ca="1">G35*$AA35*0.0001</f>
        <v>0</v>
      </c>
      <c r="AO35" s="101">
        <f ca="1">E35*$AA35*0.0001</f>
        <v>0</v>
      </c>
    </row>
    <row r="36" spans="1:41">
      <c r="A36" s="32" t="s">
        <v>137</v>
      </c>
      <c r="B36" s="33">
        <f>IF($A36="","",RTD("binance.rtd",,$A36,"last"))</f>
        <v>166.66</v>
      </c>
      <c r="C36" s="33">
        <f>IF($A36="","",RTD("binance.rtd",,$A36,"인덱스"))</f>
        <v>166.58446649000001</v>
      </c>
      <c r="D36" s="33">
        <f>IF($A36="","",RTD("binance.rtd",,$A36,"bid1",$K36))</f>
        <v>166.5</v>
      </c>
      <c r="E36" s="34">
        <f>IF($A36="","",RTD("binance.rtd",,$A36,"bidqty1",$K36))</f>
        <v>1678.2600000000002</v>
      </c>
      <c r="F36" s="33">
        <f>IF($A36="","",RTD("binance.rtd",,$A36,"ask1",$K36))</f>
        <v>167</v>
      </c>
      <c r="G36" s="34">
        <f>IF($A36="","",RTD("binance.rtd",,$A36,"askqty1",$K36))</f>
        <v>3596.8599999999997</v>
      </c>
      <c r="H36" s="58">
        <f>IF($A36="","",RTD("binance.rtd",,$A36,"fundingrate"))</f>
        <v>0</v>
      </c>
      <c r="I36" s="58">
        <f>IF($A36="","",RTD("binance.rtd",,$A36,"fundingrate_est"))</f>
        <v>0</v>
      </c>
      <c r="J36" s="35" t="str">
        <f>IF($A36="","",RTD("binance.rtd",,$A36,"countdown"))</f>
        <v>1:06:06</v>
      </c>
      <c r="K36" s="36">
        <v>0.5</v>
      </c>
      <c r="L36" s="30"/>
      <c r="M36" s="162"/>
      <c r="N36" s="30"/>
      <c r="O36" s="30"/>
      <c r="P36" s="30"/>
      <c r="R36" s="30"/>
      <c r="Z36" s="48"/>
      <c r="AI36"/>
      <c r="AN36" s="104"/>
      <c r="AO36" s="104"/>
    </row>
    <row r="37" spans="1:41" hidden="1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7"/>
      <c r="O37" s="30"/>
      <c r="P37" s="30"/>
      <c r="R37" s="30"/>
      <c r="Z37" s="48"/>
      <c r="AI37"/>
      <c r="AN37" s="104"/>
      <c r="AO37" s="104"/>
    </row>
    <row r="38" spans="1:41" hidden="1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7"/>
      <c r="O38" s="30"/>
      <c r="P38" s="30"/>
      <c r="R38" s="30"/>
      <c r="Z38" s="48"/>
      <c r="AI38"/>
      <c r="AN38" s="104"/>
      <c r="AO38" s="104"/>
    </row>
    <row r="39" spans="1:41" hidden="1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7"/>
      <c r="O39" s="30"/>
      <c r="P39" s="30"/>
      <c r="R39" s="30"/>
      <c r="Z39" s="48"/>
      <c r="AI39"/>
      <c r="AN39" s="104"/>
      <c r="AO39" s="104"/>
    </row>
    <row r="40" spans="1:41" hidden="1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7"/>
      <c r="O40" s="30"/>
      <c r="P40" s="30"/>
      <c r="R40" s="30"/>
      <c r="Z40" s="48"/>
      <c r="AI40"/>
      <c r="AN40" s="104"/>
      <c r="AO40" s="104"/>
    </row>
    <row r="41" spans="1:41" hidden="1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7"/>
      <c r="O41" s="30"/>
      <c r="P41" s="30"/>
      <c r="R41" s="30"/>
      <c r="Z41" s="48"/>
      <c r="AI41"/>
      <c r="AN41" s="104"/>
      <c r="AO41" s="104"/>
    </row>
    <row r="42" spans="1:41" hidden="1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7"/>
      <c r="O42" s="30"/>
      <c r="P42" s="30"/>
      <c r="R42" s="30"/>
      <c r="Z42" s="48"/>
      <c r="AI42"/>
      <c r="AN42" s="104"/>
      <c r="AO42" s="104"/>
    </row>
    <row r="43" spans="1:41" hidden="1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R43" s="30"/>
      <c r="Z43" s="48"/>
      <c r="AI43"/>
      <c r="AN43" s="104"/>
      <c r="AO43" s="104"/>
    </row>
    <row r="44" spans="1:41" hidden="1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R44" s="30"/>
      <c r="Z44" s="48"/>
      <c r="AI44"/>
      <c r="AN44" s="104"/>
      <c r="AO44" s="104"/>
    </row>
    <row r="45" spans="1:41" hidden="1">
      <c r="A45" s="30"/>
      <c r="B45" s="30"/>
      <c r="C45" s="30"/>
      <c r="D45" s="37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R45" s="30"/>
      <c r="Z45" s="48"/>
      <c r="AI45"/>
      <c r="AN45" s="104"/>
      <c r="AO45" s="104"/>
    </row>
    <row r="46" spans="1:41" hidden="1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R46" s="30"/>
      <c r="Z46" s="48"/>
      <c r="AI46"/>
      <c r="AN46" s="104"/>
      <c r="AO46" s="104"/>
    </row>
    <row r="47" spans="1:41" hidden="1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R47" s="30"/>
      <c r="Z47" s="48"/>
      <c r="AI47"/>
      <c r="AN47" s="104"/>
      <c r="AO47" s="104"/>
    </row>
    <row r="48" spans="1:41" hidden="1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R48" s="30"/>
      <c r="Z48" s="48"/>
      <c r="AI48"/>
      <c r="AN48" s="104"/>
      <c r="AO48" s="104"/>
    </row>
    <row r="49" spans="1:41" hidden="1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R49" s="30"/>
      <c r="Z49" s="48"/>
      <c r="AI49"/>
      <c r="AN49" s="104"/>
      <c r="AO49" s="104"/>
    </row>
    <row r="50" spans="1:41" hidden="1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R50" s="30"/>
      <c r="Z50" s="48"/>
      <c r="AI50"/>
      <c r="AN50" s="104"/>
      <c r="AO50" s="104"/>
    </row>
    <row r="51" spans="1:41" hidden="1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R51" s="30"/>
      <c r="Z51" s="48"/>
      <c r="AI51"/>
      <c r="AN51" s="104"/>
      <c r="AO51" s="104"/>
    </row>
    <row r="52" spans="1:41" hidden="1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R52" s="30"/>
      <c r="Z52" s="48"/>
      <c r="AI52"/>
      <c r="AN52" s="104"/>
      <c r="AO52" s="104"/>
    </row>
    <row r="53" spans="1:41" hidden="1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R53" s="30"/>
      <c r="Z53" s="48"/>
      <c r="AI53"/>
      <c r="AN53" s="104"/>
      <c r="AO53" s="104"/>
    </row>
    <row r="54" spans="1:41" hidden="1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R54" s="30"/>
      <c r="Z54" s="48"/>
      <c r="AI54"/>
      <c r="AN54" s="104"/>
      <c r="AO54" s="104"/>
    </row>
    <row r="55" spans="1:41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R55" s="30"/>
      <c r="Z55" s="48"/>
      <c r="AI55"/>
      <c r="AN55" s="104"/>
      <c r="AO55" s="104"/>
    </row>
    <row r="56" spans="1:41" ht="17.25" customHeight="1">
      <c r="A56" s="381" t="s">
        <v>24</v>
      </c>
      <c r="B56" s="382"/>
      <c r="C56" s="382"/>
      <c r="D56" s="382"/>
      <c r="E56" s="382"/>
      <c r="F56" s="382"/>
      <c r="G56" s="382"/>
      <c r="H56" s="382"/>
      <c r="I56" s="382"/>
      <c r="J56" s="382"/>
      <c r="K56" s="382"/>
      <c r="L56" s="382"/>
      <c r="M56" s="382"/>
      <c r="N56" s="382"/>
      <c r="O56" s="382"/>
      <c r="P56" s="382"/>
      <c r="R56" s="30" t="s">
        <v>143</v>
      </c>
      <c r="Z56" s="62" t="s">
        <v>89</v>
      </c>
      <c r="AC56" t="s">
        <v>542</v>
      </c>
      <c r="AI56"/>
      <c r="AN56" s="104"/>
      <c r="AO56" s="104"/>
    </row>
    <row r="57" spans="1:41">
      <c r="A57" s="31" t="s">
        <v>25</v>
      </c>
      <c r="B57" s="31" t="s">
        <v>26</v>
      </c>
      <c r="C57" s="31" t="s">
        <v>27</v>
      </c>
      <c r="D57" s="31" t="s">
        <v>123</v>
      </c>
      <c r="E57" s="31" t="s">
        <v>124</v>
      </c>
      <c r="F57" s="31" t="s">
        <v>9</v>
      </c>
      <c r="G57" s="31" t="s">
        <v>10</v>
      </c>
      <c r="H57" s="31" t="s">
        <v>11</v>
      </c>
      <c r="I57" s="31" t="s">
        <v>12</v>
      </c>
      <c r="J57" s="31" t="s">
        <v>125</v>
      </c>
      <c r="K57" s="31" t="s">
        <v>28</v>
      </c>
      <c r="L57" s="31" t="s">
        <v>29</v>
      </c>
      <c r="M57" s="31" t="s">
        <v>126</v>
      </c>
      <c r="N57" s="31" t="s">
        <v>122</v>
      </c>
      <c r="O57" s="31" t="s">
        <v>107</v>
      </c>
      <c r="P57" s="31" t="s">
        <v>30</v>
      </c>
      <c r="Q57" s="47" t="s">
        <v>147</v>
      </c>
      <c r="R57" s="30" t="s">
        <v>144</v>
      </c>
      <c r="Z57" s="48"/>
      <c r="AD57" t="s">
        <v>83</v>
      </c>
      <c r="AE57" t="s">
        <v>84</v>
      </c>
      <c r="AF57" t="s">
        <v>85</v>
      </c>
      <c r="AG57" s="69"/>
      <c r="AH57" s="69"/>
      <c r="AI57" t="s">
        <v>114</v>
      </c>
      <c r="AJ57" s="70"/>
      <c r="AK57" s="69"/>
      <c r="AN57" s="104"/>
      <c r="AO57" s="104"/>
    </row>
    <row r="58" spans="1:41" ht="17.25" thickBot="1">
      <c r="A58" s="32" t="s">
        <v>31</v>
      </c>
      <c r="B58" s="32" t="s">
        <v>32</v>
      </c>
      <c r="C58" s="198"/>
      <c r="D58" s="39">
        <f>IF($B58="","",RTD("ls.rtd",,$B58&amp;IF($C58="차근월물","~2",""),"현재가"))</f>
        <v>283000</v>
      </c>
      <c r="E58" s="32"/>
      <c r="F58" s="39">
        <f>IF($B58="","",RTD("ls.rtd",,$B58&amp;IF($C58="차근월물","~2",""),"매수호가"))</f>
        <v>282500</v>
      </c>
      <c r="G58" s="39">
        <f>IF($B58="","",RTD("ls.rtd",,$B58&amp;IF($C58="차근월물","~2",""),"매수잔량"))</f>
        <v>22783</v>
      </c>
      <c r="H58" s="39">
        <f>IF($B58="","",RTD("ls.rtd",,$B58&amp;IF($C58="차근월물","~2",""),"매도호가"))</f>
        <v>283000</v>
      </c>
      <c r="I58" s="39">
        <f>IF($B58="","",RTD("ls.rtd",,$B58&amp;IF($C58="차근월물","~2",""),"매도잔량"))</f>
        <v>18115</v>
      </c>
      <c r="J58" s="39">
        <f>RTD("ls.rtd",,"005930","krx전일종가")</f>
        <v>271000</v>
      </c>
      <c r="K58" s="39" t="str">
        <f>IF($B58="","",RTD("ls.rtd",,$B58&amp;IF($C58="차근월물","~2",""),"예상체결가"))</f>
        <v>-</v>
      </c>
      <c r="L58" s="39" t="str">
        <f>IF($B58="","",RTD("ls.rtd",,$B58&amp;IF($C58="차근월물","~2",""),"예상체결량"))</f>
        <v>-</v>
      </c>
      <c r="M58" s="39">
        <f>RTD("ls.rtd",,"005930","krx현재가")</f>
        <v>281500</v>
      </c>
      <c r="N58" s="57">
        <f>IF(J58=0,"-",(D58-J58)/J58)</f>
        <v>4.4280442804428041E-2</v>
      </c>
      <c r="O58" s="41" t="str">
        <f>IF($B58="","",RTD("ls.rtd",,$B58&amp;IF($C58="차근월물","~2",""),"동시이론가"))</f>
        <v>-</v>
      </c>
      <c r="P58" s="35" t="str">
        <f>IF($B58="","",RTD("ls.rtd",,$B58&amp;IF($C58="차근월물","~2",""),"장운영"))</f>
        <v>시간외종가</v>
      </c>
      <c r="Q58" s="42">
        <f>E59/D58-1</f>
        <v>1.6054770318021383E-3</v>
      </c>
      <c r="R58" s="30"/>
      <c r="Z58" s="48" t="str">
        <f t="shared" ref="Z58:Z65" si="1">B58</f>
        <v>005930</v>
      </c>
      <c r="AA58" s="53">
        <f>D58</f>
        <v>283000</v>
      </c>
      <c r="AB58" s="53">
        <f>IF(H58="-",D58,H58)</f>
        <v>283000</v>
      </c>
      <c r="AC58" s="53">
        <f>IF(F58="-",D58,F58)</f>
        <v>282500</v>
      </c>
      <c r="AE58" s="42"/>
      <c r="AF58" s="42"/>
      <c r="AI58"/>
      <c r="AN58" s="101">
        <f t="shared" ref="AN58:AN63" si="2">IF(ISNUMBER(AA58)=FALSE,0,$AB58*I58*0.0001)</f>
        <v>512654.5</v>
      </c>
      <c r="AO58" s="101">
        <f t="shared" ref="AO58:AO63" si="3">IF(ISNUMBER(AA58)=FALSE,0,$AC58*G58*0.0001)</f>
        <v>643619.75</v>
      </c>
    </row>
    <row r="59" spans="1:41" ht="17.25" thickBot="1">
      <c r="A59" s="32" t="s">
        <v>33</v>
      </c>
      <c r="B59" s="195" t="s">
        <v>34</v>
      </c>
      <c r="C59" s="202" t="s">
        <v>35</v>
      </c>
      <c r="D59" s="197">
        <f>IF($B59="","",RTD("ls.rtd",,$B59&amp;IF($C59="차근월물","~2",""),"현재가"))</f>
        <v>284000</v>
      </c>
      <c r="E59" s="41">
        <f>IF($B59="","",RTD("ls.rtd",,$B59&amp;IF($C59="차근월물","~2",""),"선물이론가"))</f>
        <v>283454.34999999998</v>
      </c>
      <c r="F59" s="39">
        <f>IF($B59="","",RTD("ls.rtd",,$B59&amp;IF($C59="차근월물","~2",""),"매수호가"))</f>
        <v>283500</v>
      </c>
      <c r="G59" s="39">
        <f>IF($B59="","",RTD("ls.rtd",,$B59&amp;IF($C59="차근월물","~2",""),"매수잔량"))</f>
        <v>433</v>
      </c>
      <c r="H59" s="39">
        <f>IF($B59="","",RTD("ls.rtd",,$B59&amp;IF($C59="차근월물","~2",""),"매도호가"))</f>
        <v>284000</v>
      </c>
      <c r="I59" s="39">
        <f>IF($B59="","",RTD("ls.rtd",,$B59&amp;IF($C59="차근월물","~2",""),"매도잔량"))</f>
        <v>4699</v>
      </c>
      <c r="J59" s="39">
        <f>IF($B59="","",RTD("ls.rtd",,$B59,"선물전일종가"))</f>
        <v>271500</v>
      </c>
      <c r="K59" s="39" t="str">
        <f>IF($B59="","",RTD("ls.rtd",,$B59&amp;IF($C59="차근월물","~2",""),"예상체결가"))</f>
        <v>-</v>
      </c>
      <c r="L59" s="39" t="str">
        <f>IF($B59="","",RTD("ls.rtd",,$B59&amp;IF($C59="차근월물","~2",""),"예상체결량"))</f>
        <v>-</v>
      </c>
      <c r="M59" s="50">
        <f>IF($B59="","",RTD("ls.rtd",,$B59,"현재가"))</f>
        <v>284000</v>
      </c>
      <c r="N59" s="57">
        <f>IFERROR((M59-J59)/J59,"-")</f>
        <v>4.6040515653775323E-2</v>
      </c>
      <c r="O59" s="41" t="str">
        <f>IF($B59="","",RTD("ls.rtd",,$B59&amp;IF($C59="차근월물","~2",""),"동시이론가"))</f>
        <v>-</v>
      </c>
      <c r="P59" s="35" t="str">
        <f>IF($B59="","",RTD("ls.rtd",,$B59&amp;IF($C59="차근월물","~2",""),"장운영"))</f>
        <v>장마감</v>
      </c>
      <c r="Q59" s="42"/>
      <c r="R59" s="30"/>
      <c r="Z59" s="48" t="str">
        <f t="shared" si="1"/>
        <v>005930F</v>
      </c>
      <c r="AA59" s="50">
        <f t="shared" ref="AA59:AA65" si="4">D59</f>
        <v>284000</v>
      </c>
      <c r="AB59" s="53">
        <f t="shared" ref="AB59:AB65" si="5">IF(H59="-",D59,H59)</f>
        <v>284000</v>
      </c>
      <c r="AC59" s="53">
        <f t="shared" ref="AC59:AC65" si="6">IF(F59="-",D59,F59)</f>
        <v>283500</v>
      </c>
      <c r="AD59" s="52">
        <f>IFERROR((AA59-$AG59)/$AG59,"-")</f>
        <v>1.9250013273743138E-3</v>
      </c>
      <c r="AE59" s="52">
        <f>IFERROR((AB59-$AG59)/$AG59,"-")</f>
        <v>1.9250013273743138E-3</v>
      </c>
      <c r="AF59" s="52">
        <f>IF(AA59="-","-",(AC59-$AG59)/$AG59)</f>
        <v>1.6104886024865482E-4</v>
      </c>
      <c r="AG59" s="103">
        <f>E59</f>
        <v>283454.34999999998</v>
      </c>
      <c r="AI59" s="257">
        <f>메인!T17</f>
        <v>0</v>
      </c>
      <c r="AJ59" s="75">
        <f>(AI59-AG59)/AG59</f>
        <v>-1</v>
      </c>
      <c r="AN59" s="101">
        <f t="shared" si="2"/>
        <v>133451.6</v>
      </c>
      <c r="AO59" s="101">
        <f t="shared" si="3"/>
        <v>12275.550000000001</v>
      </c>
    </row>
    <row r="60" spans="1:41" ht="17.25" thickBot="1">
      <c r="A60" s="32" t="s">
        <v>36</v>
      </c>
      <c r="B60" s="32" t="s">
        <v>37</v>
      </c>
      <c r="C60" s="201"/>
      <c r="D60" s="39">
        <f>IF($B60="","",RTD("ls.rtd",,$B60&amp;IF($C60="차근월물","~2",""),"현재가"))</f>
        <v>1740000</v>
      </c>
      <c r="E60" s="32"/>
      <c r="F60" s="39">
        <f>IF($B60="","",RTD("ls.rtd",,$B60&amp;IF($C60="차근월물","~2",""),"매수호가"))</f>
        <v>1740000</v>
      </c>
      <c r="G60" s="39">
        <f>IF($B60="","",RTD("ls.rtd",,$B60&amp;IF($C60="차근월물","~2",""),"매수잔량"))</f>
        <v>1701</v>
      </c>
      <c r="H60" s="39">
        <f>IF($B60="","",RTD("ls.rtd",,$B60&amp;IF($C60="차근월물","~2",""),"매도호가"))</f>
        <v>1741000</v>
      </c>
      <c r="I60" s="39">
        <f>IF($B60="","",RTD("ls.rtd",,$B60&amp;IF($C60="차근월물","~2",""),"매도잔량"))</f>
        <v>3431</v>
      </c>
      <c r="J60" s="39">
        <f>RTD("ls.rtd",,"000660","krx전일종가")</f>
        <v>1691000</v>
      </c>
      <c r="K60" s="39" t="str">
        <f>IF($B60="","",RTD("ls.rtd",,$B60&amp;IF($C60="차근월물","~2",""),"예상체결가"))</f>
        <v>-</v>
      </c>
      <c r="L60" s="39" t="str">
        <f>IF($B60="","",RTD("ls.rtd",,$B60&amp;IF($C60="차근월물","~2",""),"예상체결량"))</f>
        <v>-</v>
      </c>
      <c r="M60" s="130">
        <f>RTD("ls.rtd",,"000660","krx현재가")</f>
        <v>1730000</v>
      </c>
      <c r="N60" s="57">
        <f>IF(J60=0,"-",(D60-J60)/J60)</f>
        <v>2.8976936723832052E-2</v>
      </c>
      <c r="O60" s="41" t="str">
        <f>IF($B60="","",RTD("ls.rtd",,$B60&amp;IF($C60="차근월물","~2",""),"동시이론가"))</f>
        <v>-</v>
      </c>
      <c r="P60" s="35" t="str">
        <f>IF($B60="","",RTD("ls.rtd",,$B60&amp;IF($C60="차근월물","~2",""),"장운영"))</f>
        <v>시간외종가</v>
      </c>
      <c r="Q60" s="42">
        <f>E61/D60-1</f>
        <v>1.6054770114941608E-3</v>
      </c>
      <c r="R60" s="42"/>
      <c r="Z60" s="48" t="str">
        <f t="shared" si="1"/>
        <v>000660</v>
      </c>
      <c r="AA60" s="53">
        <f>D60</f>
        <v>1740000</v>
      </c>
      <c r="AB60" s="53">
        <f t="shared" si="5"/>
        <v>1741000</v>
      </c>
      <c r="AC60" s="53">
        <f t="shared" si="6"/>
        <v>1740000</v>
      </c>
      <c r="AE60" s="42"/>
      <c r="AF60" s="42"/>
      <c r="AG60" s="103"/>
      <c r="AJ60" s="259"/>
      <c r="AN60" s="101">
        <f t="shared" si="2"/>
        <v>597337.1</v>
      </c>
      <c r="AO60" s="101">
        <f t="shared" si="3"/>
        <v>295974</v>
      </c>
    </row>
    <row r="61" spans="1:41" ht="17.25" thickBot="1">
      <c r="A61" s="32" t="s">
        <v>38</v>
      </c>
      <c r="B61" s="195" t="s">
        <v>39</v>
      </c>
      <c r="C61" s="202" t="s">
        <v>35</v>
      </c>
      <c r="D61" s="197">
        <f>IF($B61="","",RTD("ls.rtd",,$B61&amp;IF($C61="차근월물","~2",""),"현재가"))</f>
        <v>1745000</v>
      </c>
      <c r="E61" s="41">
        <f>IF($B61="","",RTD("ls.rtd",,$B61&amp;IF($C61="차근월물","~2",""),"선물이론가"))</f>
        <v>1742793.53</v>
      </c>
      <c r="F61" s="39">
        <f>IF($B61="","",RTD("ls.rtd",,$B61&amp;IF($C61="차근월물","~2",""),"매수호가"))</f>
        <v>1744000</v>
      </c>
      <c r="G61" s="39">
        <f>IF($B61="","",RTD("ls.rtd",,$B61&amp;IF($C61="차근월물","~2",""),"매수잔량"))</f>
        <v>3</v>
      </c>
      <c r="H61" s="39">
        <f>IF($B61="","",RTD("ls.rtd",,$B61&amp;IF($C61="차근월물","~2",""),"매도호가"))</f>
        <v>1745000</v>
      </c>
      <c r="I61" s="39">
        <f>IF($B61="","",RTD("ls.rtd",,$B61&amp;IF($C61="차근월물","~2",""),"매도잔량"))</f>
        <v>991</v>
      </c>
      <c r="J61" s="39">
        <f>IF($B61="","",RTD("ls.rtd",,$B61,"선물전일종가"))</f>
        <v>1697000</v>
      </c>
      <c r="K61" s="39" t="str">
        <f>IF($B61="","",RTD("ls.rtd",,$B61&amp;IF($C61="차근월물","~2",""),"예상체결가"))</f>
        <v>-</v>
      </c>
      <c r="L61" s="39" t="str">
        <f>IF($B61="","",RTD("ls.rtd",,$B61&amp;IF($C61="차근월물","~2",""),"예상체결량"))</f>
        <v>-</v>
      </c>
      <c r="M61" s="50">
        <f>IF($B61="","",RTD("ls.rtd",,$B61,"현재가"))</f>
        <v>1745000</v>
      </c>
      <c r="N61" s="57">
        <f>IFERROR((M61-J61)/J61,"-")</f>
        <v>2.8285209192692989E-2</v>
      </c>
      <c r="O61" s="41" t="str">
        <f>IF($B61="","",RTD("ls.rtd",,$B61&amp;IF($C61="차근월물","~2",""),"동시이론가"))</f>
        <v>-</v>
      </c>
      <c r="P61" s="35" t="str">
        <f>IF($B61="","",RTD("ls.rtd",,$B61&amp;IF($C61="차근월물","~2",""),"장운영"))</f>
        <v>장마감</v>
      </c>
      <c r="Q61" s="123"/>
      <c r="R61" s="30"/>
      <c r="Z61" s="48" t="str">
        <f t="shared" si="1"/>
        <v>000660F</v>
      </c>
      <c r="AA61" s="50">
        <f t="shared" si="4"/>
        <v>1745000</v>
      </c>
      <c r="AB61" s="53">
        <f t="shared" si="5"/>
        <v>1745000</v>
      </c>
      <c r="AC61" s="53">
        <f t="shared" si="6"/>
        <v>1744000</v>
      </c>
      <c r="AD61" s="52">
        <f>IFERROR((AA61-$AG61)/$AG61,"-")</f>
        <v>1.2660535869673398E-3</v>
      </c>
      <c r="AE61" s="52">
        <f>IFERROR((AB61-$AG61)/$AG61,"-")</f>
        <v>1.2660535869673398E-3</v>
      </c>
      <c r="AF61" s="52">
        <f>IF(AA61="-","-",(AC61-$AG61)/$AG61)</f>
        <v>6.922621522470146E-4</v>
      </c>
      <c r="AG61" s="103">
        <f>E61</f>
        <v>1742793.53</v>
      </c>
      <c r="AI61" s="258">
        <f>메인!$L$17</f>
        <v>1745000</v>
      </c>
      <c r="AJ61" s="75">
        <f>(AI61-AG61)/AG61</f>
        <v>1.2660535869673398E-3</v>
      </c>
      <c r="AN61" s="101">
        <f t="shared" si="2"/>
        <v>172929.5</v>
      </c>
      <c r="AO61" s="101">
        <f t="shared" si="3"/>
        <v>523.20000000000005</v>
      </c>
    </row>
    <row r="62" spans="1:41" ht="17.25" thickBot="1">
      <c r="A62" s="32" t="s">
        <v>185</v>
      </c>
      <c r="B62" s="178" t="s">
        <v>188</v>
      </c>
      <c r="C62" s="201"/>
      <c r="D62" s="39">
        <f>IF($B62="","",RTD("ls.rtd",,$B62&amp;IF($C62="차근월물","~2",""),"현재가"))</f>
        <v>415000</v>
      </c>
      <c r="E62" s="32"/>
      <c r="F62" s="39">
        <f>IF($B62="","",RTD("ls.rtd",,$B62&amp;IF($C62="차근월물","~2",""),"매수호가"))</f>
        <v>414500</v>
      </c>
      <c r="G62" s="39">
        <f>IF($B62="","",RTD("ls.rtd",,$B62&amp;IF($C62="차근월물","~2",""),"매수잔량"))</f>
        <v>624</v>
      </c>
      <c r="H62" s="39">
        <f>IF($B62="","",RTD("ls.rtd",,$B62&amp;IF($C62="차근월물","~2",""),"매도호가"))</f>
        <v>415000</v>
      </c>
      <c r="I62" s="39">
        <f>IF($B62="","",RTD("ls.rtd",,$B62&amp;IF($C62="차근월물","~2",""),"매도잔량"))</f>
        <v>417</v>
      </c>
      <c r="J62" s="39">
        <f>RTD("ls.rtd",,"005380","krx전일종가")</f>
        <v>417500</v>
      </c>
      <c r="K62" s="39" t="str">
        <f>IF($B62="","",RTD("ls.rtd",,$B62&amp;IF($C62="차근월물","~2",""),"예상체결가"))</f>
        <v>-</v>
      </c>
      <c r="L62" s="39" t="str">
        <f>IF($B62="","",RTD("ls.rtd",,$B62&amp;IF($C62="차근월물","~2",""),"예상체결량"))</f>
        <v>-</v>
      </c>
      <c r="M62" s="130">
        <f>RTD("ls.rtd",,"005380","krx현재가")</f>
        <v>415000</v>
      </c>
      <c r="N62" s="57">
        <f>IF(J62=0,"-",(D62-J62)/J62)</f>
        <v>-5.9880239520958087E-3</v>
      </c>
      <c r="O62" s="41" t="str">
        <f>IF($B62="","",RTD("ls.rtd",,$B62&amp;IF($C62="차근월물","~2",""),"동시이론가"))</f>
        <v>-</v>
      </c>
      <c r="P62" t="str">
        <f>IF($B62="","",RTD("ls.rtd",,$B62&amp;IF($C62="차근월물","~2",""),"장운영"))</f>
        <v>시간외종가</v>
      </c>
      <c r="R62" s="30"/>
      <c r="Z62" s="204" t="str">
        <f>B62</f>
        <v>005380</v>
      </c>
      <c r="AA62" s="53">
        <f>D62</f>
        <v>415000</v>
      </c>
      <c r="AB62" s="53">
        <f>IF(H62="-",D62,H62)</f>
        <v>415000</v>
      </c>
      <c r="AC62" s="53">
        <f>IF(F62="-",D62,F62)</f>
        <v>414500</v>
      </c>
      <c r="AE62" s="42"/>
      <c r="AF62" s="42"/>
      <c r="AG62" s="103"/>
      <c r="AJ62" s="259"/>
      <c r="AN62" s="101">
        <f t="shared" si="2"/>
        <v>17305.5</v>
      </c>
      <c r="AO62" s="101">
        <f t="shared" si="3"/>
        <v>25864.800000000003</v>
      </c>
    </row>
    <row r="63" spans="1:41" ht="17.25" thickBot="1">
      <c r="A63" s="32" t="s">
        <v>186</v>
      </c>
      <c r="B63" s="195" t="s">
        <v>187</v>
      </c>
      <c r="C63" s="202" t="s">
        <v>35</v>
      </c>
      <c r="D63" s="197">
        <f>IF($B63="","",RTD("ls.rtd",,$B63&amp;IF($C63="차근월물","~2",""),"현재가"))</f>
        <v>411000</v>
      </c>
      <c r="E63" s="41">
        <f>IF($B63="","",RTD("ls.rtd",,$B63&amp;IF($C63="차근월물","~2",""),"선물이론가"))</f>
        <v>415666.27</v>
      </c>
      <c r="F63" s="39">
        <f>IF($B63="","",RTD("ls.rtd",,$B63&amp;IF($C63="차근월물","~2",""),"매수호가"))</f>
        <v>410500</v>
      </c>
      <c r="G63" s="39">
        <f>IF($B63="","",RTD("ls.rtd",,$B63&amp;IF($C63="차근월물","~2",""),"매수잔량"))</f>
        <v>3</v>
      </c>
      <c r="H63" s="39">
        <f>IF($B63="","",RTD("ls.rtd",,$B63&amp;IF($C63="차근월물","~2",""),"매도호가"))</f>
        <v>411500</v>
      </c>
      <c r="I63" s="39">
        <f>IF($B63="","",RTD("ls.rtd",,$B63&amp;IF($C63="차근월물","~2",""),"매도잔량"))</f>
        <v>16</v>
      </c>
      <c r="J63" s="39">
        <f>IF($B63="","",RTD("ls.rtd",,$B63,"선물전일종가"))</f>
        <v>414000</v>
      </c>
      <c r="K63" s="39" t="str">
        <f>IF($B63="","",RTD("ls.rtd",,$B63&amp;IF($C63="차근월물","~2",""),"예상체결가"))</f>
        <v>-</v>
      </c>
      <c r="L63" s="39" t="str">
        <f>IF($B63="","",RTD("ls.rtd",,$B63&amp;IF($C63="차근월물","~2",""),"예상체결량"))</f>
        <v>-</v>
      </c>
      <c r="M63" s="50">
        <f>IF($B63="","",RTD("ls.rtd",,$B63,"현재가"))</f>
        <v>411000</v>
      </c>
      <c r="N63" s="57">
        <f>IFERROR((M63-J63)/J63,"-")</f>
        <v>-7.246376811594203E-3</v>
      </c>
      <c r="O63" s="41" t="str">
        <f>IF($B63="","",RTD("ls.rtd",,$B63&amp;IF($C63="차근월물","~2",""),"동시이론가"))</f>
        <v>-</v>
      </c>
      <c r="P63" t="str">
        <f>IF($B63="","",RTD("ls.rtd",,$B63&amp;IF($C63="차근월물","~2",""),"장운영"))</f>
        <v>장마감</v>
      </c>
      <c r="R63" s="30"/>
      <c r="Z63" s="48" t="str">
        <f>B63</f>
        <v>005380F</v>
      </c>
      <c r="AA63" s="50">
        <f>D63</f>
        <v>411000</v>
      </c>
      <c r="AB63" s="53">
        <f>IF(H63="-",D63,H63)</f>
        <v>411500</v>
      </c>
      <c r="AC63" s="53">
        <f>IF(F63="-",D63,F63)</f>
        <v>410500</v>
      </c>
      <c r="AD63" s="52">
        <f>IFERROR((AA63-$AG63)/$AG63,"-")</f>
        <v>-1.1226001089768525E-2</v>
      </c>
      <c r="AE63" s="52">
        <f>IFERROR((AB63-$AG63)/$AG63,"-")</f>
        <v>-1.0023113013235397E-2</v>
      </c>
      <c r="AF63" s="52">
        <f>IF(AA63="-","-",(AC63-$AG63)/$AG63)</f>
        <v>-1.2428889166301655E-2</v>
      </c>
      <c r="AG63" s="103">
        <f>E63</f>
        <v>415666.27</v>
      </c>
      <c r="AI63" s="257"/>
      <c r="AJ63" s="75"/>
      <c r="AN63" s="101">
        <f t="shared" si="2"/>
        <v>658.4</v>
      </c>
      <c r="AO63" s="101">
        <f t="shared" si="3"/>
        <v>123.15</v>
      </c>
    </row>
    <row r="64" spans="1:41" ht="17.25" thickBot="1">
      <c r="A64" s="32"/>
      <c r="B64" s="32"/>
      <c r="C64" s="200"/>
      <c r="D64" s="39"/>
      <c r="E64" s="32"/>
      <c r="F64" s="39"/>
      <c r="G64" s="39"/>
      <c r="H64" s="39"/>
      <c r="I64" s="39"/>
      <c r="J64" s="40"/>
      <c r="K64" s="39"/>
      <c r="L64" s="39"/>
      <c r="M64" s="41"/>
      <c r="N64" s="41"/>
      <c r="O64" s="41"/>
      <c r="P64" s="35"/>
      <c r="Q64" s="108"/>
      <c r="R64" s="47"/>
      <c r="Z64" s="48"/>
      <c r="AA64" s="51"/>
      <c r="AB64" s="53"/>
      <c r="AC64" s="53"/>
      <c r="AG64" s="103"/>
      <c r="AI64"/>
      <c r="AL64" s="105"/>
      <c r="AM64" s="104"/>
    </row>
    <row r="65" spans="1:41">
      <c r="A65" s="32" t="s">
        <v>40</v>
      </c>
      <c r="B65" s="195" t="s">
        <v>41</v>
      </c>
      <c r="C65" s="317" t="s">
        <v>35</v>
      </c>
      <c r="D65" s="196">
        <f>IF($B65="","",RTD("ls.rtd",,$B65&amp;IF($C65="차근월물","~2",""),"현재가"))</f>
        <v>1385.9</v>
      </c>
      <c r="E65" s="41">
        <f>IF(ISNUMBER($O$2),IFERROR(IF(N($O$11)&gt;0,$O$11,RTD("exrate.rtd",,"USDKRWSPOT","price"))*(1-$O$2*RTD("ls.rtd",,$B65&amp;IF($C65="차근월물","~2",""),"잔존일")/365),"-"),"-")</f>
        <v>1385.6291057534245</v>
      </c>
      <c r="F65" s="41">
        <f>IF($B65="","",RTD("ls.rtd",,$B65&amp;IF($C65="차근월물","~2",""),"매수호가"))</f>
        <v>1385.9</v>
      </c>
      <c r="G65" s="39">
        <f>IF($B65="","",RTD("ls.rtd",,$B65&amp;IF($C65="차근월물","~2",""),"매수잔량"))</f>
        <v>235</v>
      </c>
      <c r="H65" s="41">
        <f>IF($B65="","",RTD("ls.rtd",,$B65&amp;IF($C65="차근월물","~2",""),"매도호가"))</f>
        <v>1386</v>
      </c>
      <c r="I65" s="39">
        <f>IF($B65="","",RTD("ls.rtd",,$B65&amp;IF($C65="차근월물","~2",""),"매도잔량"))</f>
        <v>436</v>
      </c>
      <c r="J65" s="39"/>
      <c r="K65" s="39" t="str">
        <f>IF($B65="","",RTD("ls.rtd",,$B65&amp;IF($C65="차근월물","~2",""),"예상체결가"))</f>
        <v>-</v>
      </c>
      <c r="L65" s="39" t="str">
        <f>IF($B65="","",RTD("ls.rtd",,$B65&amp;IF($C65="차근월물","~2",""),"예상체결량"))</f>
        <v>-</v>
      </c>
      <c r="M65" s="41"/>
      <c r="N65" s="41"/>
      <c r="O65" s="41" t="str">
        <f>IF($B65="","",RTD("ls.rtd",,$B65&amp;IF($C65="차근월물","~2",""),"동시이론가"))</f>
        <v>-</v>
      </c>
      <c r="P65" s="35" t="str">
        <f>IF($B65="","",RTD("ls.rtd",,$B65&amp;IF($C65="차근월물","~2",""),"장운영"))</f>
        <v>장마감</v>
      </c>
      <c r="R65" s="57"/>
      <c r="Z65" s="48" t="str">
        <f t="shared" si="1"/>
        <v>USD</v>
      </c>
      <c r="AA65" s="51">
        <f t="shared" si="4"/>
        <v>1385.9</v>
      </c>
      <c r="AB65" s="53">
        <f t="shared" si="5"/>
        <v>1386</v>
      </c>
      <c r="AC65" s="53">
        <f t="shared" si="6"/>
        <v>1385.9</v>
      </c>
      <c r="AG65" s="103"/>
      <c r="AI65"/>
      <c r="AL65" s="105"/>
      <c r="AM65" s="104"/>
    </row>
    <row r="66" spans="1:41">
      <c r="A66" s="32" t="s">
        <v>568</v>
      </c>
      <c r="B66" s="195" t="s">
        <v>34</v>
      </c>
      <c r="C66" s="318" t="s">
        <v>567</v>
      </c>
      <c r="D66" s="197">
        <f>IF($B66="","",RTD("ls.rtd",,$B66&amp;IF($C66="차근월물","~2",""),"현재가"))</f>
        <v>281000</v>
      </c>
      <c r="E66" s="41">
        <f>IF($B66="","",RTD("ls.rtd",,$B66&amp;IF($C66="차근월물","~2",""),"선물이론가"))</f>
        <v>284090.44</v>
      </c>
      <c r="F66" s="39">
        <f>IF($B66="","",RTD("ls.rtd",,$B66&amp;IF($C66="차근월물","~2",""),"매수호가"))</f>
        <v>280500</v>
      </c>
      <c r="G66" s="39">
        <f>IF($B66="","",RTD("ls.rtd",,$B66&amp;IF($C66="차근월물","~2",""),"매수잔량"))</f>
        <v>2</v>
      </c>
      <c r="H66" s="39">
        <f>IF($B66="","",RTD("ls.rtd",,$B66&amp;IF($C66="차근월물","~2",""),"매도호가"))</f>
        <v>281000</v>
      </c>
      <c r="I66" s="39">
        <f>IF($B66="","",RTD("ls.rtd",,$B66&amp;IF($C66="차근월물","~2",""),"매도잔량"))</f>
        <v>181</v>
      </c>
      <c r="J66" s="39">
        <f>IF($B66="","",RTD("ls.rtd",,$B66,"선물전일종가"))</f>
        <v>271500</v>
      </c>
      <c r="K66" s="39" t="str">
        <f>IF($B66="","",RTD("ls.rtd",,$B66&amp;IF($C66="차근월물","~2",""),"예상체결가"))</f>
        <v>-</v>
      </c>
      <c r="L66" s="39" t="str">
        <f>IF($B66="","",RTD("ls.rtd",,$B66&amp;IF($C66="차근월물","~2",""),"예상체결량"))</f>
        <v>-</v>
      </c>
      <c r="M66" s="50">
        <f>IF($B66="","",RTD("ls.rtd",,$B66,"현재가"))</f>
        <v>284000</v>
      </c>
      <c r="N66" s="57">
        <f>IFERROR((M66-J66)/J66,"-")</f>
        <v>4.6040515653775323E-2</v>
      </c>
      <c r="O66" s="41" t="str">
        <f>IF($B66="","",RTD("ls.rtd",,$B66&amp;IF($C66="차근월물","~2",""),"동시이론가"))</f>
        <v>-</v>
      </c>
      <c r="P66" s="35" t="str">
        <f>IF($B66="","",RTD("ls.rtd",,$B66&amp;IF($C66="차근월물","~2",""),"장운영"))</f>
        <v>시간외종가</v>
      </c>
      <c r="Q66" s="42"/>
      <c r="R66" s="30"/>
      <c r="Z66" s="48" t="str">
        <f t="shared" ref="Z66:Z67" si="7">B66</f>
        <v>005930F</v>
      </c>
      <c r="AA66" s="50">
        <f t="shared" ref="AA66:AA67" si="8">D66</f>
        <v>281000</v>
      </c>
      <c r="AB66" s="53">
        <f>IF(H66="-",D66,H66)</f>
        <v>281000</v>
      </c>
      <c r="AC66" s="53">
        <f t="shared" ref="AC66:AC67" si="9">IF(F66="-",D66,F66)</f>
        <v>280500</v>
      </c>
      <c r="AD66" s="52">
        <f t="shared" ref="AD66:AE68" si="10">IFERROR((AA66-$AG66)/$AG66,"-")</f>
        <v>-1.0878366762359206E-2</v>
      </c>
      <c r="AE66" s="52">
        <f>IFERROR((AB66-$AG66)/$AG66,"-")</f>
        <v>-1.0878366762359206E-2</v>
      </c>
      <c r="AF66" s="52">
        <f>IF(AA66="-","-",(AC66-$AG66)/$AG66)</f>
        <v>-1.2638369668476005E-2</v>
      </c>
      <c r="AG66" s="103">
        <f>E66</f>
        <v>284090.44</v>
      </c>
      <c r="AI66" s="257">
        <f>메인!$U$17</f>
        <v>0</v>
      </c>
      <c r="AJ66" s="75">
        <f>(AI66-AG66)/AG66</f>
        <v>-1</v>
      </c>
      <c r="AN66" s="101">
        <f t="shared" ref="AN66:AN68" si="11">IF(ISNUMBER(AA66)=FALSE,0,$AB66*I66*0.0001)</f>
        <v>5086.1000000000004</v>
      </c>
      <c r="AO66" s="101">
        <f t="shared" ref="AO66:AO68" si="12">IF(ISNUMBER(AA66)=FALSE,0,$AC66*G66*0.0001)</f>
        <v>56.1</v>
      </c>
    </row>
    <row r="67" spans="1:41">
      <c r="A67" s="32" t="s">
        <v>569</v>
      </c>
      <c r="B67" s="195" t="s">
        <v>39</v>
      </c>
      <c r="C67" s="318" t="s">
        <v>567</v>
      </c>
      <c r="D67" s="197">
        <f>IF($B67="","",RTD("ls.rtd",,$B67&amp;IF($C67="차근월물","~2",""),"현재가"))</f>
        <v>1743000</v>
      </c>
      <c r="E67" s="41">
        <f>IF($B67="","",RTD("ls.rtd",,$B67&amp;IF($C67="차근월물","~2",""),"선물이론가"))</f>
        <v>1746704.48</v>
      </c>
      <c r="F67" s="39">
        <f>IF($B67="","",RTD("ls.rtd",,$B67&amp;IF($C67="차근월물","~2",""),"매수호가"))</f>
        <v>1730000</v>
      </c>
      <c r="G67" s="39">
        <f>IF($B67="","",RTD("ls.rtd",,$B67&amp;IF($C67="차근월물","~2",""),"매수잔량"))</f>
        <v>3</v>
      </c>
      <c r="H67" s="39">
        <f>IF($B67="","",RTD("ls.rtd",,$B67&amp;IF($C67="차근월물","~2",""),"매도호가"))</f>
        <v>1753000</v>
      </c>
      <c r="I67" s="39">
        <f>IF($B67="","",RTD("ls.rtd",,$B67&amp;IF($C67="차근월물","~2",""),"매도잔량"))</f>
        <v>1</v>
      </c>
      <c r="J67" s="39">
        <f>IF($B67="","",RTD("ls.rtd",,$B67,"선물전일종가"))</f>
        <v>1697000</v>
      </c>
      <c r="K67" s="39" t="str">
        <f>IF($B67="","",RTD("ls.rtd",,$B67&amp;IF($C67="차근월물","~2",""),"예상체결가"))</f>
        <v>-</v>
      </c>
      <c r="L67" s="39" t="str">
        <f>IF($B67="","",RTD("ls.rtd",,$B67&amp;IF($C67="차근월물","~2",""),"예상체결량"))</f>
        <v>-</v>
      </c>
      <c r="M67" s="50">
        <f>IF($B67="","",RTD("ls.rtd",,$B67,"현재가"))</f>
        <v>1745000</v>
      </c>
      <c r="N67" s="57">
        <f>IFERROR((M67-J67)/J67,"-")</f>
        <v>2.8285209192692989E-2</v>
      </c>
      <c r="O67" s="41" t="str">
        <f>IF($B67="","",RTD("ls.rtd",,$B67&amp;IF($C67="차근월물","~2",""),"동시이론가"))</f>
        <v>-</v>
      </c>
      <c r="P67" s="35" t="str">
        <f>IF($B67="","",RTD("ls.rtd",,$B67&amp;IF($C67="차근월물","~2",""),"장운영"))</f>
        <v>시간외종가</v>
      </c>
      <c r="Q67" s="123"/>
      <c r="R67" s="30"/>
      <c r="Z67" s="48" t="str">
        <f t="shared" si="7"/>
        <v>000660F</v>
      </c>
      <c r="AA67" s="50">
        <f t="shared" si="8"/>
        <v>1743000</v>
      </c>
      <c r="AB67" s="53">
        <f t="shared" ref="AB67" si="13">IF(H67="-",D67,H67)</f>
        <v>1753000</v>
      </c>
      <c r="AC67" s="53">
        <f t="shared" si="9"/>
        <v>1730000</v>
      </c>
      <c r="AD67" s="52">
        <f t="shared" si="10"/>
        <v>-2.120839582434678E-3</v>
      </c>
      <c r="AE67" s="52">
        <f>IFERROR((AB67-$AG67)/$AG67,"-")</f>
        <v>3.6042273161170451E-3</v>
      </c>
      <c r="AF67" s="52">
        <f>IF(AA67="-","-",(AC67-$AG67)/$AG67)</f>
        <v>-9.5634265505519182E-3</v>
      </c>
      <c r="AG67" s="103">
        <f>E67</f>
        <v>1746704.48</v>
      </c>
      <c r="AI67" s="258">
        <f>메인!$M$17</f>
        <v>1586000</v>
      </c>
      <c r="AJ67" s="75">
        <f>(AI67-AG67)/AG67</f>
        <v>-9.2004389889696725E-2</v>
      </c>
      <c r="AN67" s="101">
        <f t="shared" si="11"/>
        <v>175.3</v>
      </c>
      <c r="AO67" s="101">
        <f t="shared" si="12"/>
        <v>519</v>
      </c>
    </row>
    <row r="68" spans="1:41">
      <c r="A68" s="32" t="s">
        <v>570</v>
      </c>
      <c r="B68" s="195" t="s">
        <v>187</v>
      </c>
      <c r="C68" s="318" t="s">
        <v>567</v>
      </c>
      <c r="D68" s="197">
        <f>IF($B68="","",RTD("ls.rtd",,$B68&amp;IF($C68="차근월물","~2",""),"현재가"))</f>
        <v>410000</v>
      </c>
      <c r="E68" s="41">
        <f>IF($B68="","",RTD("ls.rtd",,$B68&amp;IF($C68="차근월물","~2",""),"선물이론가"))</f>
        <v>416599.06</v>
      </c>
      <c r="F68" s="39">
        <f>IF($B68="","",RTD("ls.rtd",,$B68&amp;IF($C68="차근월물","~2",""),"매수호가"))</f>
        <v>403000</v>
      </c>
      <c r="G68" s="39">
        <f>IF($B68="","",RTD("ls.rtd",,$B68&amp;IF($C68="차근월물","~2",""),"매수잔량"))</f>
        <v>1</v>
      </c>
      <c r="H68" s="39">
        <f>IF($B68="","",RTD("ls.rtd",,$B68&amp;IF($C68="차근월물","~2",""),"매도호가"))</f>
        <v>417000</v>
      </c>
      <c r="I68" s="39">
        <f>IF($B68="","",RTD("ls.rtd",,$B68&amp;IF($C68="차근월물","~2",""),"매도잔량"))</f>
        <v>9</v>
      </c>
      <c r="J68" s="39">
        <f>IF($B68="","",RTD("ls.rtd",,$B68,"선물전일종가"))</f>
        <v>414000</v>
      </c>
      <c r="K68" s="39" t="str">
        <f>IF($B68="","",RTD("ls.rtd",,$B68&amp;IF($C68="차근월물","~2",""),"예상체결가"))</f>
        <v>-</v>
      </c>
      <c r="L68" s="39" t="str">
        <f>IF($B68="","",RTD("ls.rtd",,$B68&amp;IF($C68="차근월물","~2",""),"예상체결량"))</f>
        <v>-</v>
      </c>
      <c r="M68" s="50">
        <f>IF($B68="","",RTD("ls.rtd",,$B68,"현재가"))</f>
        <v>411000</v>
      </c>
      <c r="N68" s="57">
        <f>IFERROR((M68-J68)/J68,"-")</f>
        <v>-7.246376811594203E-3</v>
      </c>
      <c r="O68" s="41" t="str">
        <f>IF($B68="","",RTD("ls.rtd",,$B68&amp;IF($C68="차근월물","~2",""),"동시이론가"))</f>
        <v>-</v>
      </c>
      <c r="P68" t="str">
        <f>IF($B68="","",RTD("ls.rtd",,$B68&amp;IF($C68="차근월물","~2",""),"장운영"))</f>
        <v>시간외종가</v>
      </c>
      <c r="R68" s="30"/>
      <c r="Z68" s="48" t="str">
        <f>B68</f>
        <v>005380F</v>
      </c>
      <c r="AA68" s="50">
        <f>D68</f>
        <v>410000</v>
      </c>
      <c r="AB68" s="53">
        <f>IF(H68="-",D68,H68)</f>
        <v>417000</v>
      </c>
      <c r="AC68" s="53">
        <f>IF(F68="-",D68,F68)</f>
        <v>403000</v>
      </c>
      <c r="AD68" s="52">
        <f t="shared" si="10"/>
        <v>-1.5840314186018563E-2</v>
      </c>
      <c r="AE68" s="52">
        <f t="shared" si="10"/>
        <v>9.6241215714697561E-4</v>
      </c>
      <c r="AF68" s="52">
        <f>IF(AA68="-","-",(AC68-$AG68)/$AG68)</f>
        <v>-3.2643040529184097E-2</v>
      </c>
      <c r="AG68" s="103">
        <f>E68</f>
        <v>416599.06</v>
      </c>
      <c r="AI68" s="257"/>
      <c r="AJ68" s="75"/>
      <c r="AN68" s="101">
        <f t="shared" si="11"/>
        <v>375.3</v>
      </c>
      <c r="AO68" s="101">
        <f t="shared" si="12"/>
        <v>40.300000000000004</v>
      </c>
    </row>
    <row r="69" spans="1:41">
      <c r="A69" s="32"/>
      <c r="B69" s="32"/>
      <c r="C69" s="199"/>
      <c r="D69" s="39"/>
      <c r="E69" s="41"/>
      <c r="F69" s="39"/>
      <c r="G69" s="39"/>
      <c r="H69" s="39"/>
      <c r="I69" s="39"/>
      <c r="J69" s="39"/>
      <c r="K69" s="39"/>
      <c r="L69" s="39"/>
      <c r="M69" s="50"/>
      <c r="N69" s="57"/>
      <c r="O69" s="41"/>
      <c r="R69" s="127"/>
      <c r="Z69" s="48"/>
      <c r="AG69" s="103"/>
      <c r="AI69"/>
      <c r="AL69" s="104"/>
      <c r="AM69" s="104"/>
    </row>
    <row r="70" spans="1:41">
      <c r="A70" s="31" t="s">
        <v>269</v>
      </c>
      <c r="B70" s="31" t="s">
        <v>269</v>
      </c>
      <c r="C70" s="31" t="s">
        <v>274</v>
      </c>
      <c r="D70" s="31" t="s">
        <v>277</v>
      </c>
      <c r="E70" s="31" t="s">
        <v>275</v>
      </c>
      <c r="F70" s="31" t="s">
        <v>276</v>
      </c>
      <c r="G70" s="31"/>
      <c r="H70" s="30"/>
      <c r="I70" s="30"/>
      <c r="J70" s="30"/>
      <c r="K70" s="30"/>
      <c r="L70" s="30"/>
      <c r="M70" s="30"/>
      <c r="N70" s="30"/>
      <c r="O70" s="30"/>
      <c r="P70" s="30"/>
      <c r="R70" s="30"/>
      <c r="Z70" s="48"/>
      <c r="AG70" s="103"/>
      <c r="AI70"/>
      <c r="AL70" s="104"/>
      <c r="AM70" s="104"/>
    </row>
    <row r="71" spans="1:41">
      <c r="A71" s="30" t="s">
        <v>270</v>
      </c>
      <c r="B71" s="11">
        <f>IF(AND(ISNUMBER(D71),ISNUMBER(C71),C71&lt;&gt;0),(D71-C71)/C71,"-")</f>
        <v>-7.2155278158695732E-5</v>
      </c>
      <c r="C71" s="51">
        <f>RTD("ls.rtd",,"USD","현재가")</f>
        <v>1385.9</v>
      </c>
      <c r="D71" s="51">
        <f>IF(AND(ISNUMBER(E71),ISNUMBER(F71)),(E71+F71)*0.5,"-")</f>
        <v>1385.8</v>
      </c>
      <c r="E71" s="51">
        <f>RTD("ls.rtd",,"USD~2","매도호가")</f>
        <v>1386.3</v>
      </c>
      <c r="F71" s="51">
        <f>RTD("ls.rtd",,"USD~2","매수호가")</f>
        <v>1385.3</v>
      </c>
      <c r="G71" s="30"/>
      <c r="H71" s="30"/>
      <c r="I71" s="30"/>
      <c r="J71" s="30"/>
      <c r="K71" s="30"/>
      <c r="L71" s="30"/>
      <c r="M71" s="30"/>
      <c r="N71" s="30"/>
      <c r="O71" s="30"/>
      <c r="P71" s="30"/>
      <c r="R71" s="30"/>
      <c r="Z71" s="48"/>
      <c r="AG71" s="103"/>
      <c r="AI71"/>
      <c r="AL71" s="104"/>
      <c r="AM71" s="104"/>
    </row>
    <row r="72" spans="1:41">
      <c r="A72" s="30" t="s">
        <v>271</v>
      </c>
      <c r="B72" s="11">
        <f>IF(AND(ISNUMBER(D72),ISNUMBER(C72),C72&lt;&gt;0),(D72-C72)/C72,"-")</f>
        <v>-1.1443661971830986E-2</v>
      </c>
      <c r="C72" s="50">
        <f>RTD("ls.rtd",,"005930F","현재가")</f>
        <v>284000</v>
      </c>
      <c r="D72" s="50">
        <f>IF(AND(ISNUMBER(E72),ISNUMBER(F72)),(E72+F72)*0.5,"-")</f>
        <v>280750</v>
      </c>
      <c r="E72" s="50">
        <f>RTD("ls.rtd",,"005930F~2","매도호가")</f>
        <v>281000</v>
      </c>
      <c r="F72" s="50">
        <f>RTD("ls.rtd",,"005930F~2","매수호가")</f>
        <v>280500</v>
      </c>
      <c r="G72" s="30"/>
      <c r="H72" s="30"/>
      <c r="I72" s="30"/>
      <c r="J72" s="30"/>
      <c r="K72" s="30"/>
      <c r="L72" s="30"/>
      <c r="M72" s="30"/>
      <c r="N72" s="30"/>
      <c r="O72" s="30"/>
      <c r="P72" s="30"/>
      <c r="R72" s="30"/>
      <c r="Z72" s="48"/>
      <c r="AG72" s="103"/>
      <c r="AI72"/>
      <c r="AL72" s="104"/>
      <c r="AM72" s="104"/>
    </row>
    <row r="73" spans="1:41">
      <c r="A73" s="30" t="s">
        <v>272</v>
      </c>
      <c r="B73" s="11">
        <f>IF(AND(ISNUMBER(D73),ISNUMBER(C73),C73&lt;&gt;0),(D73-C73)/C73,"-")</f>
        <v>-2.0057306590257878E-3</v>
      </c>
      <c r="C73" s="50">
        <f>RTD("ls.rtd",,"000660F","현재가")</f>
        <v>1745000</v>
      </c>
      <c r="D73" s="50">
        <f>IF(AND(ISNUMBER(E73),ISNUMBER(F73)),(E73+F73)*0.5,"-")</f>
        <v>1741500</v>
      </c>
      <c r="E73" s="50">
        <f>RTD("ls.rtd",,"000660F~2","매도호가")</f>
        <v>1753000</v>
      </c>
      <c r="F73" s="50">
        <f>RTD("ls.rtd",,"000660F~2","매수호가")</f>
        <v>1730000</v>
      </c>
      <c r="H73" s="30"/>
      <c r="I73" s="30"/>
      <c r="J73" s="30"/>
      <c r="K73" s="30"/>
      <c r="L73" s="30"/>
      <c r="M73" s="30"/>
      <c r="N73" s="30"/>
      <c r="O73" s="30"/>
      <c r="P73" s="30"/>
      <c r="R73" s="30"/>
      <c r="Z73" s="48"/>
      <c r="AG73" s="103"/>
      <c r="AI73"/>
      <c r="AL73" s="104"/>
      <c r="AM73" s="104"/>
    </row>
    <row r="74" spans="1:41">
      <c r="A74" s="30" t="s">
        <v>273</v>
      </c>
      <c r="B74" s="11">
        <f>IF(AND(ISNUMBER(D74),ISNUMBER(C74),C74&lt;&gt;0),(D74-C74)/C74,"-")</f>
        <v>-2.4330900243309003E-3</v>
      </c>
      <c r="C74" s="50">
        <f>RTD("ls.rtd",,"005380F","현재가")</f>
        <v>411000</v>
      </c>
      <c r="D74" s="50">
        <f>IF(AND(ISNUMBER(E74),ISNUMBER(F74)),(E74+F74)*0.5,"-")</f>
        <v>410000</v>
      </c>
      <c r="E74" s="50">
        <f>RTD("ls.rtd",,"005380F~2","매도호가")</f>
        <v>417000</v>
      </c>
      <c r="F74" s="50">
        <f>RTD("ls.rtd",,"005380F~2","매수호가")</f>
        <v>403000</v>
      </c>
      <c r="G74" s="30"/>
      <c r="H74" s="30"/>
      <c r="I74" s="30"/>
      <c r="J74" s="30"/>
      <c r="K74" s="30"/>
      <c r="L74" s="30"/>
      <c r="M74" s="30"/>
      <c r="N74" s="30"/>
      <c r="O74" s="30"/>
      <c r="P74" s="30"/>
      <c r="R74" s="30"/>
      <c r="Z74" s="48"/>
      <c r="AG74" s="103"/>
      <c r="AI74"/>
      <c r="AL74" s="104"/>
      <c r="AM74" s="104"/>
    </row>
    <row r="75" spans="1:41">
      <c r="G75" s="30"/>
      <c r="H75" s="30"/>
      <c r="I75" s="30"/>
      <c r="J75" s="30"/>
      <c r="K75" s="30"/>
      <c r="L75" s="30"/>
      <c r="M75" s="30"/>
      <c r="N75" s="30"/>
      <c r="O75" s="30"/>
      <c r="P75" s="30"/>
      <c r="R75" s="30"/>
      <c r="Z75" s="48"/>
      <c r="AG75" s="103"/>
      <c r="AI75"/>
      <c r="AL75" s="104"/>
      <c r="AM75" s="104"/>
    </row>
    <row r="76" spans="1:41">
      <c r="G76" s="30"/>
      <c r="H76" s="30"/>
      <c r="I76" s="30"/>
      <c r="J76" s="30"/>
      <c r="K76" s="30"/>
      <c r="L76" s="30"/>
      <c r="M76" s="30"/>
      <c r="N76" s="30"/>
      <c r="O76" s="30"/>
      <c r="P76" s="30"/>
      <c r="R76" s="30"/>
      <c r="Z76" s="48"/>
      <c r="AG76" s="103"/>
      <c r="AI76"/>
      <c r="AL76" s="104"/>
      <c r="AM76" s="104"/>
    </row>
    <row r="77" spans="1:41">
      <c r="G77" s="30"/>
      <c r="H77" s="30"/>
      <c r="I77" s="30"/>
      <c r="J77" s="30"/>
      <c r="K77" s="30"/>
      <c r="L77" s="30"/>
      <c r="M77" s="30"/>
      <c r="N77" s="30"/>
      <c r="O77" s="30"/>
      <c r="P77" s="30"/>
      <c r="R77" s="30"/>
      <c r="Z77" s="48"/>
      <c r="AG77" s="103"/>
      <c r="AI77"/>
      <c r="AL77" s="104"/>
      <c r="AM77" s="104"/>
    </row>
    <row r="78" spans="1:41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R78" s="30"/>
      <c r="Z78" s="48"/>
      <c r="AG78" s="103"/>
      <c r="AI78"/>
      <c r="AL78" s="104"/>
      <c r="AM78" s="104"/>
    </row>
    <row r="79" spans="1:41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R79" s="30"/>
      <c r="Z79" s="48"/>
      <c r="AG79" s="103"/>
      <c r="AI79"/>
      <c r="AL79" s="104"/>
      <c r="AM79" s="104"/>
    </row>
    <row r="80" spans="1:41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R80" s="30"/>
      <c r="Z80" s="48"/>
      <c r="AG80" s="103"/>
      <c r="AI80"/>
      <c r="AL80" s="104"/>
      <c r="AM80" s="104"/>
    </row>
    <row r="81" spans="1:39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R81" s="30"/>
      <c r="Z81" s="48"/>
      <c r="AG81" s="103"/>
      <c r="AI81"/>
      <c r="AL81" s="104"/>
      <c r="AM81" s="104"/>
    </row>
    <row r="82" spans="1:39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R82" s="30"/>
      <c r="Z82" s="48"/>
      <c r="AG82" s="103"/>
      <c r="AI82"/>
      <c r="AL82" s="104"/>
      <c r="AM82" s="104"/>
    </row>
    <row r="83" spans="1:39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R83" s="30"/>
      <c r="Z83" s="48"/>
      <c r="AG83" s="103"/>
      <c r="AI83"/>
      <c r="AL83" s="104"/>
      <c r="AM83" s="104"/>
    </row>
    <row r="84" spans="1:39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7"/>
      <c r="O84" s="30"/>
      <c r="P84" s="30"/>
      <c r="R84" s="30"/>
      <c r="Z84" s="48"/>
      <c r="AG84" s="103"/>
      <c r="AI84"/>
      <c r="AL84" s="104"/>
      <c r="AM84" s="104"/>
    </row>
    <row r="85" spans="1:39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48"/>
      <c r="R85" s="30"/>
    </row>
    <row r="86" spans="1:39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48"/>
      <c r="R86" s="30"/>
    </row>
    <row r="87" spans="1:39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48"/>
      <c r="R87" s="30"/>
    </row>
    <row r="88" spans="1:39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48"/>
      <c r="R88" s="30"/>
    </row>
    <row r="89" spans="1:39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48"/>
      <c r="R89" s="30"/>
    </row>
    <row r="90" spans="1:39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48"/>
      <c r="R90" s="30"/>
    </row>
    <row r="91" spans="1:39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48"/>
      <c r="R91" s="30"/>
    </row>
    <row r="92" spans="1:39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48"/>
      <c r="R92" s="30"/>
    </row>
    <row r="93" spans="1:39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48"/>
      <c r="R93" s="30"/>
    </row>
    <row r="94" spans="1:39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48"/>
      <c r="R94" s="30"/>
    </row>
    <row r="95" spans="1:39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48"/>
      <c r="R95" s="30"/>
    </row>
    <row r="96" spans="1:39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48"/>
      <c r="R96" s="30"/>
    </row>
    <row r="97" spans="1:18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48"/>
      <c r="R97" s="30"/>
    </row>
    <row r="98" spans="1:18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48"/>
      <c r="R98" s="30"/>
    </row>
    <row r="99" spans="1:18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48"/>
      <c r="R99" s="30"/>
    </row>
    <row r="100" spans="1:18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48"/>
      <c r="R100" s="30"/>
    </row>
    <row r="101" spans="1:18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48"/>
      <c r="R101" s="30"/>
    </row>
    <row r="102" spans="1:18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48"/>
      <c r="R102" s="30"/>
    </row>
    <row r="103" spans="1:18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48"/>
      <c r="R103" s="30"/>
    </row>
    <row r="104" spans="1:18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48"/>
      <c r="R104" s="30"/>
    </row>
    <row r="105" spans="1:18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48"/>
      <c r="R105" s="30"/>
    </row>
    <row r="106" spans="1:18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48"/>
      <c r="R106" s="30"/>
    </row>
    <row r="107" spans="1:18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48"/>
      <c r="R107" s="30"/>
    </row>
    <row r="108" spans="1:18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48"/>
      <c r="R108" s="30"/>
    </row>
    <row r="109" spans="1:18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48"/>
      <c r="R109" s="30"/>
    </row>
  </sheetData>
  <mergeCells count="3">
    <mergeCell ref="A5:K5"/>
    <mergeCell ref="A56:P56"/>
    <mergeCell ref="A31:K31"/>
  </mergeCells>
  <phoneticPr fontId="11" type="noConversion"/>
  <dataValidations count="5">
    <dataValidation type="list" allowBlank="1" sqref="K7 K33:K34 K10 K36" xr:uid="{00000000-0002-0000-0000-000000000000}">
      <formula1>"0.1,0.5,1,2"</formula1>
    </dataValidation>
    <dataValidation type="list" allowBlank="1" sqref="K8" xr:uid="{00000000-0002-0000-0000-000001000000}">
      <formula1>"0.01,0.05,0.1,0.2"</formula1>
    </dataValidation>
    <dataValidation type="list" allowBlank="1" sqref="K9 K35" xr:uid="{00000000-0002-0000-0000-000002000000}">
      <formula1>"0.05,0.1,0.2,0.5"</formula1>
    </dataValidation>
    <dataValidation type="list" allowBlank="1" sqref="C59 C61 C63 C65" xr:uid="{00000000-0002-0000-0000-000007000000}">
      <formula1>"최근월물,차근월물"</formula1>
    </dataValidation>
    <dataValidation type="list" allowBlank="1" showInputMessage="1" showErrorMessage="1" sqref="C66:C68" xr:uid="{8DF9D2F8-96E4-4278-B70C-8F72FA7EA29C}">
      <formula1>"최근월물,차근월물"</formula1>
    </dataValidation>
  </dataValidations>
  <pageMargins left="0.75" right="0.75" top="1" bottom="1" header="0.5" footer="0.5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B93"/>
  <sheetViews>
    <sheetView showGridLines="0" showRowColHeaders="0" zoomScale="145" zoomScaleNormal="145" workbookViewId="0">
      <pane ySplit="24" topLeftCell="A25" activePane="bottomLeft" state="frozen"/>
      <selection pane="bottomLeft" activeCell="L17" sqref="L17"/>
    </sheetView>
  </sheetViews>
  <sheetFormatPr defaultRowHeight="17.25" customHeight="1"/>
  <cols>
    <col min="1" max="1" width="0.625" style="46" customWidth="1"/>
    <col min="2" max="2" width="0.625" style="46" hidden="1" customWidth="1"/>
    <col min="3" max="3" width="5.625" style="54" hidden="1" customWidth="1"/>
    <col min="4" max="4" width="11.375" style="54" hidden="1" customWidth="1"/>
    <col min="5" max="5" width="5.875" style="54" hidden="1" customWidth="1"/>
    <col min="6" max="6" width="3.5" style="83" hidden="1" customWidth="1"/>
    <col min="7" max="7" width="0.5" style="83" customWidth="1"/>
    <col min="8" max="8" width="6.75" style="83" customWidth="1"/>
    <col min="9" max="9" width="9.125" style="83" customWidth="1"/>
    <col min="10" max="10" width="9.125" style="82" customWidth="1"/>
    <col min="11" max="12" width="9.125" style="83" customWidth="1"/>
    <col min="13" max="13" width="9.125" style="83" hidden="1" customWidth="1"/>
    <col min="14" max="14" width="7.625" style="82" hidden="1" customWidth="1"/>
    <col min="15" max="15" width="0.75" style="83" customWidth="1"/>
    <col min="16" max="16" width="7.125" style="83" customWidth="1"/>
    <col min="17" max="18" width="9.125" style="56" customWidth="1"/>
    <col min="19" max="20" width="9.125" style="46" customWidth="1"/>
    <col min="21" max="21" width="9.125" style="46" hidden="1" customWidth="1"/>
    <col min="22" max="22" width="9.375" style="46" hidden="1" customWidth="1"/>
    <col min="23" max="23" width="9" style="46"/>
    <col min="24" max="24" width="7" style="46" customWidth="1"/>
    <col min="25" max="25" width="0.875" style="46" customWidth="1"/>
    <col min="26" max="26" width="13.125" style="46" bestFit="1" customWidth="1"/>
    <col min="27" max="16384" width="9" style="46"/>
  </cols>
  <sheetData>
    <row r="1" spans="2:21" s="54" customFormat="1" ht="12.75" customHeight="1">
      <c r="E1" s="56"/>
      <c r="F1" s="82"/>
      <c r="H1" s="270">
        <f ca="1">시세!I1</f>
        <v>1386.1</v>
      </c>
      <c r="I1" s="273" t="str">
        <f>시세!C65</f>
        <v>최근월물</v>
      </c>
      <c r="J1" s="271">
        <f>IF(시세!H65=0,H1,시세!H65)</f>
        <v>1386</v>
      </c>
      <c r="K1" s="391">
        <f ca="1">NOW()</f>
        <v>46255.662428587966</v>
      </c>
      <c r="L1" s="392"/>
      <c r="P1" s="341" t="s">
        <v>566</v>
      </c>
      <c r="Q1" s="342"/>
      <c r="R1" s="342"/>
      <c r="S1" s="326"/>
      <c r="T1" s="326"/>
      <c r="U1" s="326"/>
    </row>
    <row r="2" spans="2:21" s="54" customFormat="1" ht="12.75" customHeight="1" thickBot="1">
      <c r="E2" s="64"/>
      <c r="F2" s="82"/>
      <c r="G2" s="82"/>
      <c r="H2" s="274" t="s">
        <v>575</v>
      </c>
      <c r="I2" s="275">
        <f>시세!B71</f>
        <v>-7.2155278158695732E-5</v>
      </c>
      <c r="J2" s="272">
        <f>IF(시세!F65=0,H1,시세!F65)</f>
        <v>1385.9</v>
      </c>
      <c r="K2" s="393"/>
      <c r="L2" s="394"/>
      <c r="O2" s="82"/>
      <c r="P2" s="343" t="s">
        <v>130</v>
      </c>
      <c r="Q2" s="326"/>
      <c r="R2" s="326"/>
      <c r="S2" s="326">
        <f>450*1390</f>
        <v>625500</v>
      </c>
      <c r="T2" s="326"/>
      <c r="U2" s="326"/>
    </row>
    <row r="3" spans="2:21" s="54" customFormat="1" ht="1.5" customHeight="1">
      <c r="F3" s="82"/>
      <c r="G3" s="383"/>
      <c r="H3" s="384"/>
      <c r="I3" s="106"/>
      <c r="J3" s="106"/>
      <c r="K3" s="106"/>
      <c r="L3" s="82"/>
      <c r="M3" s="82"/>
      <c r="N3" s="82"/>
      <c r="O3" s="82"/>
      <c r="P3" s="82"/>
    </row>
    <row r="4" spans="2:21" s="54" customFormat="1" ht="8.25" customHeight="1" thickBot="1">
      <c r="B4" s="63"/>
      <c r="I4" s="320" t="s">
        <v>183</v>
      </c>
      <c r="J4" s="106"/>
      <c r="K4" s="86"/>
      <c r="L4" s="86"/>
      <c r="M4" s="56"/>
      <c r="N4" s="56"/>
      <c r="P4" s="66"/>
      <c r="Q4" s="320" t="s">
        <v>559</v>
      </c>
      <c r="R4" s="338"/>
      <c r="S4" s="315"/>
      <c r="T4" s="315"/>
    </row>
    <row r="5" spans="2:21" s="65" customFormat="1" ht="12.75" customHeight="1">
      <c r="C5" s="54"/>
      <c r="D5" s="54"/>
      <c r="H5" s="329" t="s">
        <v>90</v>
      </c>
      <c r="I5" s="389" t="s">
        <v>323</v>
      </c>
      <c r="J5" s="390"/>
      <c r="K5" s="111" t="s">
        <v>80</v>
      </c>
      <c r="L5" s="110" t="s">
        <v>81</v>
      </c>
      <c r="M5" s="110" t="s">
        <v>572</v>
      </c>
      <c r="P5" s="329" t="s">
        <v>263</v>
      </c>
      <c r="Q5" s="389" t="s">
        <v>323</v>
      </c>
      <c r="R5" s="390"/>
      <c r="S5" s="111" t="s">
        <v>264</v>
      </c>
      <c r="T5" s="110" t="s">
        <v>190</v>
      </c>
      <c r="U5" s="110" t="s">
        <v>572</v>
      </c>
    </row>
    <row r="6" spans="2:21" s="63" customFormat="1" ht="12" customHeight="1">
      <c r="C6" s="54"/>
      <c r="D6" s="54"/>
      <c r="H6" s="330">
        <f ca="1">시세!AN7</f>
        <v>2279.3626224929999</v>
      </c>
      <c r="I6" s="303">
        <f>시세!F7</f>
        <v>1253.5</v>
      </c>
      <c r="J6" s="304">
        <f ca="1">시세!AB7</f>
        <v>1737476.3499999999</v>
      </c>
      <c r="K6" s="305">
        <f>시세!AB60</f>
        <v>1741000</v>
      </c>
      <c r="L6" s="306">
        <f>시세!AB61</f>
        <v>1745000</v>
      </c>
      <c r="M6" s="306">
        <f>시세!AB67</f>
        <v>1753000</v>
      </c>
      <c r="P6" s="330">
        <f ca="1">시세!AN8</f>
        <v>1336.0502673507001</v>
      </c>
      <c r="Q6" s="303">
        <f>시세!F8</f>
        <v>203.9</v>
      </c>
      <c r="R6" s="304">
        <f ca="1">시세!AB8</f>
        <v>282625.78999999998</v>
      </c>
      <c r="S6" s="305">
        <f>시세!AB58</f>
        <v>283000</v>
      </c>
      <c r="T6" s="306">
        <f>시세!AB59</f>
        <v>284000</v>
      </c>
      <c r="U6" s="306">
        <f>시세!AB66</f>
        <v>281000</v>
      </c>
    </row>
    <row r="7" spans="2:21" ht="12" customHeight="1">
      <c r="C7" s="63"/>
      <c r="D7" s="63"/>
      <c r="H7" s="331"/>
      <c r="I7" s="307">
        <f>시세!B7</f>
        <v>1253.0999999999999</v>
      </c>
      <c r="J7" s="308">
        <f ca="1">시세!AA7</f>
        <v>1736921.9099999997</v>
      </c>
      <c r="K7" s="309">
        <f>시세!AA60</f>
        <v>1740000</v>
      </c>
      <c r="L7" s="310">
        <f>IF(시세!AA61="연결중...",시세!K61,시세!AA61)</f>
        <v>1745000</v>
      </c>
      <c r="M7" s="310">
        <f>IF(시세!AA67="연결중...",시세!K67,시세!AA67)</f>
        <v>1743000</v>
      </c>
      <c r="P7" s="331"/>
      <c r="Q7" s="307">
        <f>시세!B8</f>
        <v>203.83</v>
      </c>
      <c r="R7" s="308">
        <f ca="1">시세!AA8</f>
        <v>282528.76299999998</v>
      </c>
      <c r="S7" s="309">
        <f>시세!AA58</f>
        <v>283000</v>
      </c>
      <c r="T7" s="310">
        <f>IF(시세!AA59="연결중...",시세!K59,시세!AA59)</f>
        <v>284000</v>
      </c>
      <c r="U7" s="310">
        <f>IF(시세!AA66="연결중...",시세!K66,시세!AA66)</f>
        <v>281000</v>
      </c>
    </row>
    <row r="8" spans="2:21" ht="12" customHeight="1" thickBot="1">
      <c r="H8" s="330">
        <f ca="1">시세!AO7</f>
        <v>26653.761477713997</v>
      </c>
      <c r="I8" s="311">
        <f>시세!D7</f>
        <v>1253</v>
      </c>
      <c r="J8" s="312">
        <f ca="1">시세!AC7</f>
        <v>1736783.2999999998</v>
      </c>
      <c r="K8" s="313">
        <f>시세!AC60</f>
        <v>1740000</v>
      </c>
      <c r="L8" s="314">
        <f>시세!AC61</f>
        <v>1744000</v>
      </c>
      <c r="M8" s="314">
        <f>시세!AC67</f>
        <v>1730000</v>
      </c>
      <c r="P8" s="330">
        <f ca="1">시세!AO8</f>
        <v>12456.241114649198</v>
      </c>
      <c r="Q8" s="311">
        <f>시세!D8</f>
        <v>203.8</v>
      </c>
      <c r="R8" s="312">
        <f ca="1">시세!AC8</f>
        <v>282487.18</v>
      </c>
      <c r="S8" s="313">
        <f>시세!AC58</f>
        <v>282500</v>
      </c>
      <c r="T8" s="314">
        <f>시세!AC59</f>
        <v>283500</v>
      </c>
      <c r="U8" s="314">
        <f>시세!AC66</f>
        <v>280500</v>
      </c>
    </row>
    <row r="9" spans="2:21" ht="15.75" customHeight="1">
      <c r="E9" s="77"/>
      <c r="H9" s="268" t="s">
        <v>91</v>
      </c>
      <c r="I9" s="114">
        <f>시세!C7</f>
        <v>1255.4000000000001</v>
      </c>
      <c r="J9" s="385">
        <f ca="1">($J$8-$K$6)/$K$6</f>
        <v>-2.4219988512350294E-3</v>
      </c>
      <c r="K9" s="112">
        <f>시세!$AD$61</f>
        <v>1.2660535869673398E-3</v>
      </c>
      <c r="L9" s="385">
        <f ca="1">IFERROR($J$22-L22,"-")</f>
        <v>-2.5409403131666621E-3</v>
      </c>
      <c r="M9" s="385">
        <f ca="1">IFERROR($J$22-M22,"-")</f>
        <v>7.7147483896322713E-3</v>
      </c>
      <c r="N9" s="316"/>
      <c r="P9" s="268" t="s">
        <v>265</v>
      </c>
      <c r="Q9" s="114">
        <f>시세!C8</f>
        <v>204.18</v>
      </c>
      <c r="R9" s="385">
        <f ca="1">($R$8-$S$6)/$S$6</f>
        <v>-1.812084805653735E-3</v>
      </c>
      <c r="S9" s="112">
        <f>시세!$AD$59</f>
        <v>1.9250013273743138E-3</v>
      </c>
      <c r="T9" s="385">
        <f ca="1">IFERROR($R$22-T22,"-")</f>
        <v>-1.9731336659023898E-3</v>
      </c>
      <c r="U9" s="385">
        <f ca="1">IFERROR($R$22-U22,"-")</f>
        <v>1.082628486282227E-2</v>
      </c>
    </row>
    <row r="10" spans="2:21" ht="15.75" customHeight="1" thickBot="1">
      <c r="H10" s="321" t="s">
        <v>92</v>
      </c>
      <c r="I10" s="115">
        <f ca="1">H1*I9</f>
        <v>1740109.94</v>
      </c>
      <c r="J10" s="386"/>
      <c r="K10" s="253" t="s">
        <v>111</v>
      </c>
      <c r="L10" s="386"/>
      <c r="M10" s="386"/>
      <c r="P10" s="321" t="s">
        <v>266</v>
      </c>
      <c r="Q10" s="115">
        <f ca="1">H1*Q9</f>
        <v>283013.89799999999</v>
      </c>
      <c r="R10" s="386"/>
      <c r="S10" s="253" t="s">
        <v>210</v>
      </c>
      <c r="T10" s="386"/>
      <c r="U10" s="386"/>
    </row>
    <row r="11" spans="2:21" ht="14.25" customHeight="1" thickBot="1">
      <c r="H11" s="324"/>
      <c r="I11" s="301" t="str">
        <f>시세!J7</f>
        <v>0:06:06</v>
      </c>
      <c r="J11" s="263">
        <f ca="1">($J$7-$K$7)/$K$7</f>
        <v>-1.7690172413794922E-3</v>
      </c>
      <c r="K11" s="254" t="s">
        <v>545</v>
      </c>
      <c r="L11" s="263">
        <f ca="1">IFERROR($J$21-L21,"-")</f>
        <v>-3.0350708283468321E-3</v>
      </c>
      <c r="M11" s="263">
        <f ca="1">IFERROR($J$21-M21,"-")</f>
        <v>3.5182234105518573E-4</v>
      </c>
      <c r="P11" s="324"/>
      <c r="Q11" s="302" t="str">
        <f>시세!J8</f>
        <v>0:06:06</v>
      </c>
      <c r="R11" s="263">
        <f ca="1">($R$7-$S$7)/$S$7</f>
        <v>-1.6651484098940735E-3</v>
      </c>
      <c r="S11" s="254" t="s">
        <v>544</v>
      </c>
      <c r="T11" s="263">
        <f ca="1">IFERROR($R$21-T21,"-")</f>
        <v>-3.5901497372683873E-3</v>
      </c>
      <c r="U11" s="263">
        <f ca="1">IFERROR($R$21-U21,"-")</f>
        <v>9.2132183524651322E-3</v>
      </c>
    </row>
    <row r="12" spans="2:21" s="54" customFormat="1" ht="14.25" customHeight="1" thickBot="1">
      <c r="H12" s="268" t="s">
        <v>93</v>
      </c>
      <c r="I12" s="113">
        <f>시세!I7</f>
        <v>3.6940000000000001E-7</v>
      </c>
      <c r="J12" s="387">
        <f ca="1">($J$6-$K$8)/$K$8</f>
        <v>-1.450373563218471E-3</v>
      </c>
      <c r="K12" s="253" t="s">
        <v>112</v>
      </c>
      <c r="L12" s="387">
        <f ca="1">IFERROR($J$20-L20,"-")</f>
        <v>-2.7164271501858108E-3</v>
      </c>
      <c r="M12" s="387">
        <f ca="1">IFERROR($J$20-M20,"-")</f>
        <v>-5.0546008793355161E-3</v>
      </c>
      <c r="P12" s="268" t="s">
        <v>267</v>
      </c>
      <c r="Q12" s="113">
        <f>시세!I8</f>
        <v>-1.49937E-5</v>
      </c>
      <c r="R12" s="387">
        <f ca="1">($R$6-$S$8)/$S$8</f>
        <v>4.4527433628311166E-4</v>
      </c>
      <c r="S12" s="253" t="s">
        <v>211</v>
      </c>
      <c r="T12" s="387">
        <f ca="1">IFERROR($R$20-T20,"-")</f>
        <v>-3.2472981471623735E-3</v>
      </c>
      <c r="U12" s="387">
        <f ca="1">IFERROR($R$20-U20,"-")</f>
        <v>9.5560699425711465E-3</v>
      </c>
    </row>
    <row r="13" spans="2:21" s="55" customFormat="1" ht="14.25" customHeight="1" thickBot="1">
      <c r="C13" s="56"/>
      <c r="D13" s="56"/>
      <c r="H13" s="268" t="s">
        <v>574</v>
      </c>
      <c r="I13" s="203">
        <f>시세!B73</f>
        <v>-2.0057306590257878E-3</v>
      </c>
      <c r="J13" s="388"/>
      <c r="K13" s="253"/>
      <c r="L13" s="388"/>
      <c r="M13" s="388"/>
      <c r="N13" s="56"/>
      <c r="P13" s="268" t="s">
        <v>574</v>
      </c>
      <c r="Q13" s="337">
        <f>시세!B72</f>
        <v>-1.1443661971830986E-2</v>
      </c>
      <c r="R13" s="388"/>
      <c r="S13" s="253"/>
      <c r="T13" s="388"/>
      <c r="U13" s="388"/>
    </row>
    <row r="14" spans="2:21" s="56" customFormat="1" ht="3.75" customHeight="1" thickBot="1">
      <c r="H14" s="324"/>
      <c r="O14" s="322"/>
      <c r="P14" s="82"/>
      <c r="R14" s="116"/>
    </row>
    <row r="15" spans="2:21" s="56" customFormat="1" ht="13.5" customHeight="1" thickBot="1">
      <c r="E15" s="131"/>
      <c r="H15" s="324"/>
      <c r="I15" s="109" t="s">
        <v>145</v>
      </c>
      <c r="J15" s="261" t="str">
        <f>IF(J17="","-",시세!AL7)</f>
        <v>-</v>
      </c>
      <c r="K15" s="253" t="s">
        <v>111</v>
      </c>
      <c r="L15" s="261">
        <f ca="1">IF(L17="","-",$J$22-$L$23)</f>
        <v>-3.1147317478869871E-3</v>
      </c>
      <c r="M15" s="261">
        <f ca="1">IF(M17="","-",$J$22-$M$23)</f>
        <v>9.015571172877708E-2</v>
      </c>
      <c r="O15" s="322"/>
      <c r="P15" s="82"/>
      <c r="R15" s="261" t="str">
        <f>IF(R17="","-",시세!AL8)</f>
        <v>-</v>
      </c>
      <c r="S15" s="253" t="s">
        <v>210</v>
      </c>
      <c r="T15" s="261" t="str">
        <f>IF(T17="","-",$R$22-$T$23)</f>
        <v>-</v>
      </c>
      <c r="U15" s="261" t="str">
        <f>IF(U17="","-",$R$22-$U$23)</f>
        <v>-</v>
      </c>
    </row>
    <row r="16" spans="2:21" s="56" customFormat="1" ht="14.25" customHeight="1">
      <c r="E16" s="132"/>
      <c r="H16" s="268"/>
      <c r="I16" s="156">
        <f>시세!B10</f>
        <v>166.56</v>
      </c>
      <c r="J16" s="262" t="str">
        <f>IF(J17="","-",시세!AK7)</f>
        <v>-</v>
      </c>
      <c r="K16" s="253" t="s">
        <v>112</v>
      </c>
      <c r="L16" s="262">
        <f ca="1">IF(L17="","-",$J$20-$L$23)</f>
        <v>-2.7164271501858108E-3</v>
      </c>
      <c r="M16" s="262">
        <f ca="1">IF(M17="","-",$J$20-$M$23)</f>
        <v>9.0554016326478248E-2</v>
      </c>
      <c r="O16" s="322"/>
      <c r="P16" s="82"/>
      <c r="Q16" s="56">
        <f>1-0.94608</f>
        <v>5.3919999999999968E-2</v>
      </c>
      <c r="R16" s="262" t="str">
        <f>IF(R17="","-",시세!AK8)</f>
        <v>-</v>
      </c>
      <c r="S16" s="253" t="s">
        <v>211</v>
      </c>
      <c r="T16" s="262" t="str">
        <f>IF(T17="","-",$R$20-$T$23)</f>
        <v>-</v>
      </c>
      <c r="U16" s="262" t="str">
        <f>IF(U17="","-",$R$20-$U$23)</f>
        <v>-</v>
      </c>
    </row>
    <row r="17" spans="3:26" s="56" customFormat="1" ht="14.25" customHeight="1" thickBot="1">
      <c r="C17" s="64"/>
      <c r="D17" s="64"/>
      <c r="E17" s="132"/>
      <c r="H17" s="324"/>
      <c r="I17" s="157">
        <f>I16*10/I7-1</f>
        <v>0.32918362461096473</v>
      </c>
      <c r="J17" s="260"/>
      <c r="K17" s="255" t="s">
        <v>547</v>
      </c>
      <c r="L17" s="260">
        <v>1745000</v>
      </c>
      <c r="M17" s="260">
        <v>1586000</v>
      </c>
      <c r="O17" s="322"/>
      <c r="P17" s="82"/>
      <c r="R17" s="260"/>
      <c r="S17" s="255" t="s">
        <v>546</v>
      </c>
      <c r="T17" s="260"/>
      <c r="U17" s="260"/>
    </row>
    <row r="18" spans="3:26" s="56" customFormat="1" ht="3" customHeight="1" thickBot="1">
      <c r="C18" s="64"/>
      <c r="D18" s="64"/>
      <c r="G18" s="324"/>
      <c r="O18" s="322"/>
      <c r="P18" s="82"/>
    </row>
    <row r="19" spans="3:26" s="349" customFormat="1" ht="18.75" hidden="1" customHeight="1">
      <c r="C19" s="344"/>
      <c r="D19" s="344"/>
      <c r="E19" s="345"/>
      <c r="F19" s="346"/>
      <c r="G19" s="347"/>
      <c r="H19" s="348" t="s">
        <v>576</v>
      </c>
      <c r="J19" s="348" t="s">
        <v>551</v>
      </c>
      <c r="L19" s="349" t="s">
        <v>549</v>
      </c>
      <c r="P19" s="348" t="s">
        <v>576</v>
      </c>
      <c r="R19" s="348" t="s">
        <v>550</v>
      </c>
      <c r="T19" s="349" t="s">
        <v>548</v>
      </c>
      <c r="U19" s="349" t="s">
        <v>548</v>
      </c>
      <c r="W19" s="350"/>
    </row>
    <row r="20" spans="3:26" ht="15.75" hidden="1" customHeight="1">
      <c r="C20" s="64"/>
      <c r="D20" s="64"/>
      <c r="E20" s="133"/>
      <c r="F20" s="134"/>
      <c r="G20" s="323"/>
      <c r="H20" s="269">
        <f>시세!AG61</f>
        <v>1742793.53</v>
      </c>
      <c r="I20" s="88" t="s">
        <v>537</v>
      </c>
      <c r="J20" s="89">
        <f ca="1">시세!$AE$7</f>
        <v>-1.450373563218471E-3</v>
      </c>
      <c r="L20" s="89">
        <f>시세!$AE$61</f>
        <v>1.2660535869673398E-3</v>
      </c>
      <c r="M20" s="89">
        <f>시세!$AE$67</f>
        <v>3.6042273161170451E-3</v>
      </c>
      <c r="O20" s="323"/>
      <c r="P20" s="332">
        <f>시세!AG59</f>
        <v>283454.34999999998</v>
      </c>
      <c r="Q20" s="88" t="s">
        <v>536</v>
      </c>
      <c r="R20" s="89">
        <f ca="1">시세!$AE$8</f>
        <v>-1.3222968197880599E-3</v>
      </c>
      <c r="S20" s="83"/>
      <c r="T20" s="89">
        <f>시세!$AE$59</f>
        <v>1.9250013273743138E-3</v>
      </c>
      <c r="U20" s="89">
        <f>시세!$AE$66</f>
        <v>-1.0878366762359206E-2</v>
      </c>
    </row>
    <row r="21" spans="3:26" s="54" customFormat="1" ht="15.75" hidden="1" customHeight="1">
      <c r="C21" s="64"/>
      <c r="D21" s="64"/>
      <c r="E21" s="133"/>
      <c r="F21" s="217"/>
      <c r="G21" s="324"/>
      <c r="H21" s="269">
        <f>시세!AG67</f>
        <v>1746704.48</v>
      </c>
      <c r="I21" s="218" t="s">
        <v>541</v>
      </c>
      <c r="J21" s="91">
        <f ca="1">시세!AD7</f>
        <v>-1.7690172413794922E-3</v>
      </c>
      <c r="K21" s="82"/>
      <c r="L21" s="91">
        <f>시세!$AD$61</f>
        <v>1.2660535869673398E-3</v>
      </c>
      <c r="M21" s="91">
        <f>시세!$AD$67</f>
        <v>-2.120839582434678E-3</v>
      </c>
      <c r="N21" s="87"/>
      <c r="O21" s="324"/>
      <c r="P21" s="332">
        <f>시세!AG66</f>
        <v>284090.44</v>
      </c>
      <c r="Q21" s="218" t="s">
        <v>540</v>
      </c>
      <c r="R21" s="91">
        <f ca="1">시세!AD8</f>
        <v>-1.6651484098940735E-3</v>
      </c>
      <c r="S21" s="82"/>
      <c r="T21" s="91">
        <f>시세!$AD$59</f>
        <v>1.9250013273743138E-3</v>
      </c>
      <c r="U21" s="91">
        <f>시세!$AD$66</f>
        <v>-1.0878366762359206E-2</v>
      </c>
    </row>
    <row r="22" spans="3:26" ht="18" hidden="1" customHeight="1">
      <c r="E22" s="133"/>
      <c r="F22" s="149"/>
      <c r="G22" s="323"/>
      <c r="H22" s="82"/>
      <c r="I22" s="90" t="s">
        <v>539</v>
      </c>
      <c r="J22" s="91">
        <f ca="1">시세!$AF$7</f>
        <v>-1.8486781609196473E-3</v>
      </c>
      <c r="L22" s="117">
        <f>시세!$AF$61</f>
        <v>6.922621522470146E-4</v>
      </c>
      <c r="M22" s="117">
        <f>시세!$AF$67</f>
        <v>-9.5634265505519182E-3</v>
      </c>
      <c r="N22" s="87"/>
      <c r="O22" s="323"/>
      <c r="P22" s="82"/>
      <c r="Q22" s="90" t="s">
        <v>538</v>
      </c>
      <c r="R22" s="91">
        <f ca="1">시세!$AF$8</f>
        <v>-1.812084805653735E-3</v>
      </c>
      <c r="S22" s="83"/>
      <c r="T22" s="117">
        <f>시세!$AF$59</f>
        <v>1.6104886024865482E-4</v>
      </c>
      <c r="U22" s="117">
        <f>시세!$AF$66</f>
        <v>-1.2638369668476005E-2</v>
      </c>
    </row>
    <row r="23" spans="3:26" ht="16.5" hidden="1" customHeight="1">
      <c r="E23" s="133"/>
      <c r="F23" s="57"/>
      <c r="G23" s="335"/>
      <c r="H23" s="57"/>
      <c r="I23" s="118" t="s">
        <v>554</v>
      </c>
      <c r="J23" s="119"/>
      <c r="L23" s="119">
        <f>시세!AJ61</f>
        <v>1.2660535869673398E-3</v>
      </c>
      <c r="M23" s="119">
        <f>시세!AJ67</f>
        <v>-9.2004389889696725E-2</v>
      </c>
      <c r="N23" s="87"/>
      <c r="O23" s="325"/>
      <c r="P23" s="84"/>
      <c r="Q23" s="118" t="s">
        <v>553</v>
      </c>
      <c r="R23" s="119"/>
      <c r="S23" s="83"/>
      <c r="T23" s="119">
        <f>시세!AJ59</f>
        <v>-1</v>
      </c>
      <c r="U23" s="119">
        <f>시세!AJ66</f>
        <v>-1</v>
      </c>
    </row>
    <row r="24" spans="3:26" ht="16.5" hidden="1" customHeight="1" thickBot="1">
      <c r="E24" s="131"/>
      <c r="F24" s="134"/>
      <c r="G24" s="335"/>
      <c r="H24" s="84"/>
      <c r="O24" s="325"/>
      <c r="P24" s="84"/>
      <c r="Q24" s="83"/>
      <c r="R24" s="82"/>
      <c r="S24" s="83"/>
      <c r="T24" s="83"/>
    </row>
    <row r="25" spans="3:26" ht="16.5" customHeight="1" thickBot="1">
      <c r="E25" s="131"/>
      <c r="F25" s="134"/>
      <c r="G25" s="324"/>
      <c r="H25" s="85" t="s">
        <v>556</v>
      </c>
      <c r="I25" s="277">
        <f>IF(I27="","-",(I27*I28-$K$7)/$K$7-(I29-$H$20)/$H$20)</f>
        <v>2.5496204505539299E-3</v>
      </c>
      <c r="J25" s="80">
        <f>I29*I26*0.001</f>
        <v>214060</v>
      </c>
      <c r="K25" s="277" t="str">
        <f>IF(K27="","-",(K27*K28-$K$7)/$K$7-(K29-$H$20)/$H$20)</f>
        <v>-</v>
      </c>
      <c r="L25" s="80">
        <f>K29*K26*0.001</f>
        <v>0</v>
      </c>
      <c r="M25" s="277" t="str">
        <f>IF(M27="","-",(M27*M28-$K$7)/$K$7-(M29-$H$21)/$H$21)</f>
        <v>-</v>
      </c>
      <c r="N25" s="80">
        <f>M29*M26*0.001</f>
        <v>0</v>
      </c>
      <c r="O25" s="324"/>
      <c r="P25" s="85" t="s">
        <v>555</v>
      </c>
      <c r="Q25" s="277" t="str">
        <f>IF(Q27="","-",(Q27*Q28-$S$7)/$S$7-(Q29-$P$20)/$P$20)</f>
        <v>-</v>
      </c>
      <c r="R25" s="80">
        <f>Q29*Q26*0.001</f>
        <v>0</v>
      </c>
      <c r="S25" s="277" t="str">
        <f>IF(S27="","-",(S27*S28-$S$7)/$S$7-(S29-$P$20)/$P$20)</f>
        <v>-</v>
      </c>
      <c r="T25" s="80">
        <f>S29*S26*0.001</f>
        <v>0</v>
      </c>
      <c r="U25" s="277" t="str">
        <f>IF(U27="","-",(U27*U28-$S$7)/$S$7-(U29-$P$21)/$P$21)</f>
        <v>-</v>
      </c>
      <c r="V25" s="80">
        <f>U29*U26*0.001</f>
        <v>0</v>
      </c>
    </row>
    <row r="26" spans="3:26" ht="16.5" customHeight="1" thickBot="1">
      <c r="F26" s="135"/>
      <c r="G26" s="333"/>
      <c r="H26" s="124" t="s">
        <v>562</v>
      </c>
      <c r="I26" s="280">
        <v>140</v>
      </c>
      <c r="J26" s="281" t="s">
        <v>368</v>
      </c>
      <c r="K26" s="282"/>
      <c r="L26" s="283" t="s">
        <v>106</v>
      </c>
      <c r="M26" s="280"/>
      <c r="O26" s="333"/>
      <c r="P26" s="124" t="s">
        <v>562</v>
      </c>
      <c r="Q26" s="280"/>
      <c r="R26" s="281" t="s">
        <v>560</v>
      </c>
      <c r="S26" s="282"/>
      <c r="T26" s="283" t="s">
        <v>561</v>
      </c>
      <c r="U26" s="280"/>
    </row>
    <row r="27" spans="3:26" s="54" customFormat="1" ht="15.75" customHeight="1">
      <c r="G27" s="334"/>
      <c r="H27" s="339" t="s">
        <v>397</v>
      </c>
      <c r="I27" s="284">
        <v>1413</v>
      </c>
      <c r="J27" s="81">
        <f>IF(I26="",0,(I27-$J$1)*ABS(I30)*10)</f>
        <v>4050</v>
      </c>
      <c r="K27" s="78"/>
      <c r="L27" s="285">
        <f>IF(K26="",0,(I27-K27)*ABS(K30)*10)</f>
        <v>0</v>
      </c>
      <c r="M27" s="284"/>
      <c r="O27" s="334"/>
      <c r="P27" s="339" t="s">
        <v>397</v>
      </c>
      <c r="Q27" s="284"/>
      <c r="R27" s="81">
        <f>IF(Q26="",0,(Q27-$J$1)*ABS(Q30)*10)</f>
        <v>0</v>
      </c>
      <c r="S27" s="78"/>
      <c r="T27" s="285">
        <f>IF(S26="",0,(Q27-S27)*ABS(S30)*10)</f>
        <v>0</v>
      </c>
      <c r="U27" s="284"/>
    </row>
    <row r="28" spans="3:26" s="54" customFormat="1" ht="15.75" customHeight="1">
      <c r="G28" s="327"/>
      <c r="H28" s="339" t="s">
        <v>94</v>
      </c>
      <c r="I28" s="286">
        <v>1083.5</v>
      </c>
      <c r="J28" s="81">
        <f ca="1">IF(I26="",0,(I28-$I$6)*I26*0.001*$H$1)</f>
        <v>-32989.18</v>
      </c>
      <c r="K28" s="79"/>
      <c r="L28" s="287">
        <f>IF(K26="",0,(I28-K28)*K26*0.001*$H$1)</f>
        <v>0</v>
      </c>
      <c r="M28" s="286"/>
      <c r="O28" s="327"/>
      <c r="P28" s="339" t="s">
        <v>94</v>
      </c>
      <c r="Q28" s="286"/>
      <c r="R28" s="81">
        <f>IF(Q26="",0,(Q28-$Q$6)*Q26*0.001*$H$1)</f>
        <v>0</v>
      </c>
      <c r="S28" s="79"/>
      <c r="T28" s="287">
        <f>IF(S26="",0,(Q28-S28)*S26*0.001*$H$1)</f>
        <v>0</v>
      </c>
      <c r="U28" s="286"/>
      <c r="Z28" s="44"/>
    </row>
    <row r="29" spans="3:26" s="54" customFormat="1" ht="15.75" customHeight="1">
      <c r="G29" s="328"/>
      <c r="H29" s="340" t="s">
        <v>423</v>
      </c>
      <c r="I29" s="288">
        <v>1529000</v>
      </c>
      <c r="J29" s="94">
        <f>IF(I26="",0,($L$8-I29)*I26*0.001)</f>
        <v>30100</v>
      </c>
      <c r="K29" s="93"/>
      <c r="L29" s="289">
        <f>IF(K26="",0,((K29-I29)*K26*0.001))</f>
        <v>0</v>
      </c>
      <c r="M29" s="288"/>
      <c r="O29" s="328"/>
      <c r="P29" s="340" t="s">
        <v>423</v>
      </c>
      <c r="Q29" s="288"/>
      <c r="R29" s="94">
        <f>IF(Q26="",0,($T$8-Q29)*Q26*0.001)</f>
        <v>0</v>
      </c>
      <c r="S29" s="93"/>
      <c r="T29" s="289">
        <f>IF(S26="",0,((S29-Q29)*S26*0.001))</f>
        <v>0</v>
      </c>
      <c r="U29" s="288"/>
      <c r="W29" s="352"/>
      <c r="Z29" s="44"/>
    </row>
    <row r="30" spans="3:26" s="54" customFormat="1" ht="15.75" customHeight="1" thickBot="1">
      <c r="G30" s="329"/>
      <c r="H30" s="82">
        <v>2</v>
      </c>
      <c r="I30" s="290">
        <f>IFERROR(-ROUNDDOWN(J25/I27*0.1,0),"-")</f>
        <v>-15</v>
      </c>
      <c r="J30" s="291">
        <f ca="1">IF(J27="","-",J27+J28+J29)</f>
        <v>1160.8199999999997</v>
      </c>
      <c r="K30" s="292" t="str">
        <f>IFERROR(-ROUNDDOWN(L25/K27*0.1,0),"-")</f>
        <v>-</v>
      </c>
      <c r="L30" s="293">
        <f>IF(L27="","-",L27+L28+L29)</f>
        <v>0</v>
      </c>
      <c r="M30" s="290" t="str">
        <f>IFERROR(-ROUNDDOWN(N25/M27*0.1,0),"-")</f>
        <v>-</v>
      </c>
      <c r="O30" s="329"/>
      <c r="P30" s="82">
        <v>2</v>
      </c>
      <c r="Q30" s="290" t="str">
        <f>IFERROR(-ROUNDDOWN(R25/Q27*0.1,0),"-")</f>
        <v>-</v>
      </c>
      <c r="R30" s="291">
        <f>IF(R27="","-",R27+R28+R29)</f>
        <v>0</v>
      </c>
      <c r="S30" s="292" t="str">
        <f>IFERROR(-ROUNDDOWN(T25/S27*0.1,0),"-")</f>
        <v>-</v>
      </c>
      <c r="T30" s="293">
        <f>IF(T27="","-",T27+T28+T29)</f>
        <v>0</v>
      </c>
      <c r="U30" s="290" t="str">
        <f>IFERROR(-ROUNDDOWN(V25/U27*0.1,0),"-")</f>
        <v>-</v>
      </c>
    </row>
    <row r="31" spans="3:26" s="54" customFormat="1" ht="15.75" customHeight="1">
      <c r="G31" s="268"/>
      <c r="H31" s="267">
        <f ca="1">H30*$K$7*10/($H$1*10000)</f>
        <v>2.5106413678666764</v>
      </c>
      <c r="I31" s="300" t="s">
        <v>558</v>
      </c>
      <c r="J31" s="278">
        <f>IFERROR(0.4*ABS(I30)+(0.006%*0.1+0.016%)*J25,"-")</f>
        <v>41.533960000000008</v>
      </c>
      <c r="K31" s="279">
        <f ca="1">IFERROR(($J$1-$J$2)*ABS(I30)*10+($J$6-$J$8+$L$6-$L$8)*I26*0.001,"-")</f>
        <v>252.02699999999288</v>
      </c>
      <c r="L31" s="276">
        <f ca="1">IFERROR((J31+K31)/J25,"-")</f>
        <v>1.371395683453204E-3</v>
      </c>
      <c r="O31" s="268"/>
      <c r="P31" s="267">
        <f ca="1">P30*$S$7*10/($H$1*10000)</f>
        <v>0.40833994661279849</v>
      </c>
      <c r="Q31" s="300" t="s">
        <v>557</v>
      </c>
      <c r="R31" s="278" t="str">
        <f>IFERROR(0.4*ABS(Q30)+(0.006%*0.1+0.016%)*R25,"-")</f>
        <v>-</v>
      </c>
      <c r="S31" s="279" t="str">
        <f ca="1">IFERROR(($J$1-$J$2)*ABS(Q30)*10+($R$6-$R$8+$T$6-$T$8)*Q26*0.001,"-")</f>
        <v>-</v>
      </c>
      <c r="T31" s="276" t="str">
        <f ca="1">IFERROR((R31+S31)/R25,"-")</f>
        <v>-</v>
      </c>
    </row>
    <row r="32" spans="3:26" s="54" customFormat="1" ht="5.25" customHeight="1" thickBot="1">
      <c r="G32" s="324"/>
      <c r="H32" s="82"/>
      <c r="I32" s="82"/>
      <c r="J32" s="82"/>
      <c r="K32" s="82"/>
      <c r="L32" s="82"/>
      <c r="O32" s="324"/>
      <c r="P32" s="82"/>
      <c r="Q32" s="82"/>
      <c r="R32" s="82"/>
      <c r="S32" s="82"/>
      <c r="T32" s="82"/>
    </row>
    <row r="33" spans="7:22" s="54" customFormat="1" ht="15.75" customHeight="1" thickBot="1">
      <c r="G33" s="324"/>
      <c r="H33" s="85" t="s">
        <v>556</v>
      </c>
      <c r="I33" s="277">
        <f>IF(I35="","-",(I35*I36-$K$7)/$K$7-(I37-$H$20)/$H$20)</f>
        <v>-2.5454421115586601E-4</v>
      </c>
      <c r="J33" s="80">
        <f>I37*I34*0.001</f>
        <v>1523597.12</v>
      </c>
      <c r="K33" s="277" t="str">
        <f>IF(K35="","-",(K35*K36-$K$7)/$K$7-(K37-$H$20)/$H$20)</f>
        <v>-</v>
      </c>
      <c r="L33" s="80">
        <f>K37*K34*0.001</f>
        <v>0</v>
      </c>
      <c r="M33" s="277">
        <f>IF(M35="","-",(M35*M36-$K$7)/$K$7-(M37-$H$21)/$H$21)</f>
        <v>2.4656754041649243E-4</v>
      </c>
      <c r="N33" s="80">
        <f>M37*M34*0.001</f>
        <v>1730819.82</v>
      </c>
      <c r="O33" s="324"/>
      <c r="P33" s="85" t="s">
        <v>555</v>
      </c>
      <c r="Q33" s="277">
        <f>IF(Q35="","-",(Q35*Q36-$S$7)/$S$7-(Q37-$P$20)/$P$20)</f>
        <v>-4.5084414228346061E-3</v>
      </c>
      <c r="R33" s="80">
        <f>Q37*Q34*0.001</f>
        <v>40264</v>
      </c>
      <c r="S33" s="277" t="str">
        <f>IF(S35="","-",(S35*S36-$S$7)/$S$7-(S37-$P$20)/$P$20)</f>
        <v>-</v>
      </c>
      <c r="T33" s="80">
        <f>S37*S34*0.001</f>
        <v>0</v>
      </c>
      <c r="U33" s="277" t="str">
        <f>IF(U35="","-",(U35*U36-$S$7)/$S$7-(U37-$P$21)/$P$21)</f>
        <v>-</v>
      </c>
      <c r="V33" s="80">
        <f>U37*U34*0.001</f>
        <v>0</v>
      </c>
    </row>
    <row r="34" spans="7:22" s="54" customFormat="1" ht="15.75" customHeight="1" thickBot="1">
      <c r="G34" s="333"/>
      <c r="H34" s="124" t="s">
        <v>563</v>
      </c>
      <c r="I34" s="280">
        <v>940</v>
      </c>
      <c r="J34" s="281" t="s">
        <v>368</v>
      </c>
      <c r="K34" s="282"/>
      <c r="L34" s="283" t="s">
        <v>106</v>
      </c>
      <c r="M34" s="280">
        <v>1140</v>
      </c>
      <c r="N34" s="82"/>
      <c r="O34" s="333"/>
      <c r="P34" s="124" t="s">
        <v>563</v>
      </c>
      <c r="Q34" s="280">
        <v>140</v>
      </c>
      <c r="R34" s="281" t="s">
        <v>560</v>
      </c>
      <c r="S34" s="282"/>
      <c r="T34" s="283" t="s">
        <v>561</v>
      </c>
      <c r="U34" s="280"/>
      <c r="V34" s="46"/>
    </row>
    <row r="35" spans="7:22" s="54" customFormat="1" ht="15.75" customHeight="1">
      <c r="G35" s="334"/>
      <c r="H35" s="264" t="s">
        <v>399</v>
      </c>
      <c r="I35" s="284">
        <v>1393.1</v>
      </c>
      <c r="J35" s="81">
        <f>IF(I34="",0,($J$2-I35)*ABS(I38)*10)</f>
        <v>-7847.9999999998017</v>
      </c>
      <c r="K35" s="78"/>
      <c r="L35" s="285">
        <f>IF(K34="",0,(K35-I35)*ABS(K38)*10)</f>
        <v>0</v>
      </c>
      <c r="M35" s="284">
        <v>1415.49</v>
      </c>
      <c r="O35" s="334"/>
      <c r="P35" s="264" t="s">
        <v>399</v>
      </c>
      <c r="Q35" s="284">
        <v>1411.6</v>
      </c>
      <c r="R35" s="81">
        <f>IF(Q34="",0,($J$2-Q35)*ABS(Q38)*10)</f>
        <v>-513.99999999999636</v>
      </c>
      <c r="S35" s="78"/>
      <c r="T35" s="285">
        <f>IF(S34="",0,(S35-Q35)*ABS(S38)*10)</f>
        <v>0</v>
      </c>
      <c r="U35" s="284"/>
    </row>
    <row r="36" spans="7:22" s="54" customFormat="1" ht="15.75" customHeight="1">
      <c r="G36" s="327"/>
      <c r="H36" s="265" t="s">
        <v>95</v>
      </c>
      <c r="I36" s="286">
        <v>1161.3</v>
      </c>
      <c r="J36" s="81">
        <f ca="1">IF(I34="",0,($I$8-I36)*I34*0.001*$H$1)</f>
        <v>119479.04780000006</v>
      </c>
      <c r="K36" s="79"/>
      <c r="L36" s="287">
        <f>IF(K34="",0,(K36-I36)*K34*0.001*$H$1)</f>
        <v>0</v>
      </c>
      <c r="M36" s="286">
        <v>1068.7919999999999</v>
      </c>
      <c r="O36" s="327"/>
      <c r="P36" s="265" t="s">
        <v>95</v>
      </c>
      <c r="Q36" s="286">
        <v>202.51</v>
      </c>
      <c r="R36" s="81">
        <f ca="1">IF(Q34="",0,($Q$8-Q36)*Q34*0.001*$H$1)</f>
        <v>250.32966000000397</v>
      </c>
      <c r="S36" s="79"/>
      <c r="T36" s="287">
        <f>IF(S34="",0,(S36-Q36)*S34*0.001*$H$1)</f>
        <v>0</v>
      </c>
      <c r="U36" s="286"/>
    </row>
    <row r="37" spans="7:22" s="54" customFormat="1" ht="15.75" customHeight="1" thickBot="1">
      <c r="G37" s="328"/>
      <c r="H37" s="266" t="s">
        <v>424</v>
      </c>
      <c r="I37" s="288">
        <v>1620848</v>
      </c>
      <c r="J37" s="94">
        <f>IF(I34="",0,(I37-$L$6)*I34*0.001)</f>
        <v>-116702.88</v>
      </c>
      <c r="K37" s="93"/>
      <c r="L37" s="289">
        <f>IF(K34="",0,((I37-K37)*K34*0.001))</f>
        <v>0</v>
      </c>
      <c r="M37" s="288">
        <v>1518263</v>
      </c>
      <c r="O37" s="328"/>
      <c r="P37" s="266" t="s">
        <v>424</v>
      </c>
      <c r="Q37" s="288">
        <v>287600</v>
      </c>
      <c r="R37" s="94">
        <f>IF(Q34="",0,(Q37-$T$6)*Q34*0.001)</f>
        <v>504</v>
      </c>
      <c r="S37" s="93"/>
      <c r="T37" s="289">
        <f>IF(S34="",0,((Q37-S37)*S34*0.001))</f>
        <v>0</v>
      </c>
      <c r="U37" s="288"/>
    </row>
    <row r="38" spans="7:22" s="54" customFormat="1" ht="15.75" customHeight="1" thickBot="1">
      <c r="G38" s="329"/>
      <c r="H38" s="82">
        <v>2</v>
      </c>
      <c r="I38" s="298">
        <f>IFERROR(ROUNDDOWN(J33/I35*0.1,0),"-")</f>
        <v>109</v>
      </c>
      <c r="J38" s="150">
        <f ca="1">IF(J35="","-",J35+J36+J37)</f>
        <v>-5071.8321999997424</v>
      </c>
      <c r="K38" s="163" t="str">
        <f>IFERROR(ROUNDDOWN(L33/K35*0.1,0),"-")</f>
        <v>-</v>
      </c>
      <c r="L38" s="299">
        <f>IF(L35="","-",L35+L36+L37)</f>
        <v>0</v>
      </c>
      <c r="M38" s="290">
        <f>IFERROR(-ROUNDDOWN(N33/M35*0.1,0),"-")</f>
        <v>-122</v>
      </c>
      <c r="O38" s="329"/>
      <c r="P38" s="82">
        <v>2</v>
      </c>
      <c r="Q38" s="298">
        <f>IFERROR(ROUNDDOWN(R33/Q35*0.1,0),"-")</f>
        <v>2</v>
      </c>
      <c r="R38" s="150">
        <f ca="1">IF(R35="","-",R35+R36+R37)</f>
        <v>240.32966000000761</v>
      </c>
      <c r="S38" s="163" t="str">
        <f>IFERROR(ROUNDDOWN(T33/S35*0.1,0),"-")</f>
        <v>-</v>
      </c>
      <c r="T38" s="299">
        <f>IF(T35="","-",T35+T36+T37)</f>
        <v>0</v>
      </c>
      <c r="U38" s="290" t="str">
        <f>IFERROR(-ROUNDDOWN(V33/U35*0.1,0),"-")</f>
        <v>-</v>
      </c>
    </row>
    <row r="39" spans="7:22" s="54" customFormat="1" ht="15.75" customHeight="1">
      <c r="G39" s="268"/>
      <c r="H39" s="267">
        <f ca="1">H38*$K$7*10/($H$1*10000)</f>
        <v>2.5106413678666764</v>
      </c>
      <c r="I39" s="300" t="s">
        <v>558</v>
      </c>
      <c r="J39" s="278">
        <f>IFERROR(0.4*ABS(I38)+(0.006%*0.1+0.016%)*J33,"-")</f>
        <v>296.51712192000008</v>
      </c>
      <c r="K39" s="279">
        <f ca="1">IFERROR(($J$1-$J$2)*ABS(I38)*10+($J$6-$J$8+$L$6-$L$8)*I34*0.001,"-")</f>
        <v>1700.4669999999446</v>
      </c>
      <c r="L39" s="276">
        <f ca="1">IFERROR((J39+K39)/J33,"-")</f>
        <v>1.3107035289748675E-3</v>
      </c>
      <c r="O39" s="268"/>
      <c r="P39" s="267">
        <f ca="1">P38*$S$7*10/($H$1*10000)</f>
        <v>0.40833994661279849</v>
      </c>
      <c r="Q39" s="300" t="s">
        <v>557</v>
      </c>
      <c r="R39" s="278">
        <f>IFERROR(0.4*ABS(Q38)+(0.006%*0.1+0.016%)*R33,"-")</f>
        <v>7.4838240000000011</v>
      </c>
      <c r="S39" s="279">
        <f ca="1">IFERROR(($J$1-$J$2)*ABS(Q38)*10+($R$6-$R$8+$T$6-$T$8)*Q34*0.001,"-")</f>
        <v>91.40539999999622</v>
      </c>
      <c r="T39" s="276">
        <f ca="1">IFERROR((R39+S39)/R33,"-")</f>
        <v>2.4560208623086682E-3</v>
      </c>
    </row>
    <row r="40" spans="7:22" s="54" customFormat="1" ht="15" customHeight="1" thickBot="1">
      <c r="G40" s="324"/>
      <c r="H40" s="82"/>
      <c r="I40" s="82"/>
      <c r="J40" s="82"/>
      <c r="K40" s="82"/>
      <c r="L40" s="82"/>
      <c r="O40" s="324"/>
      <c r="P40" s="82"/>
      <c r="Q40" s="82"/>
      <c r="R40" s="82"/>
      <c r="S40" s="82"/>
      <c r="T40" s="82"/>
    </row>
    <row r="41" spans="7:22" s="54" customFormat="1" ht="15.75" customHeight="1" thickBot="1">
      <c r="G41" s="324"/>
      <c r="H41" s="85" t="s">
        <v>556</v>
      </c>
      <c r="I41" s="277" t="str">
        <f>IF(I43="","-",(I43*I44-I45)/I45)</f>
        <v>-</v>
      </c>
      <c r="J41" s="80">
        <f>I45*I42*0.001</f>
        <v>0</v>
      </c>
      <c r="K41" s="277" t="str">
        <f>IF(K43="","-",(K43*K44-K45)/K45)</f>
        <v>-</v>
      </c>
      <c r="L41" s="80">
        <f>K45*K42*0.001</f>
        <v>0</v>
      </c>
      <c r="O41" s="324"/>
      <c r="P41" s="85" t="s">
        <v>555</v>
      </c>
      <c r="Q41" s="277" t="str">
        <f>IF(Q43="","-",(Q43*Q44-Q45)/Q45)</f>
        <v>-</v>
      </c>
      <c r="R41" s="80">
        <f>Q45*Q42*0.001</f>
        <v>0</v>
      </c>
      <c r="S41" s="277" t="str">
        <f>IF(S43="","-",(S43*S44-S45)/S45)</f>
        <v>-</v>
      </c>
      <c r="T41" s="80">
        <f>S45*S42*0.001</f>
        <v>0</v>
      </c>
    </row>
    <row r="42" spans="7:22" s="54" customFormat="1" ht="15.75" customHeight="1" thickBot="1">
      <c r="G42" s="333"/>
      <c r="H42" s="124" t="s">
        <v>564</v>
      </c>
      <c r="I42" s="280"/>
      <c r="J42" s="281" t="s">
        <v>368</v>
      </c>
      <c r="K42" s="282"/>
      <c r="L42" s="283" t="s">
        <v>106</v>
      </c>
      <c r="O42" s="333"/>
      <c r="P42" s="124" t="s">
        <v>564</v>
      </c>
      <c r="Q42" s="280"/>
      <c r="R42" s="281" t="s">
        <v>560</v>
      </c>
      <c r="S42" s="282"/>
      <c r="T42" s="283" t="s">
        <v>561</v>
      </c>
    </row>
    <row r="43" spans="7:22" s="54" customFormat="1" ht="15.75" customHeight="1">
      <c r="G43" s="334"/>
      <c r="H43" s="339" t="s">
        <v>397</v>
      </c>
      <c r="I43" s="284"/>
      <c r="J43" s="81">
        <f>IF(I42="",0,(I43-$J$1)*ABS(I46)*10)</f>
        <v>0</v>
      </c>
      <c r="K43" s="78"/>
      <c r="L43" s="285">
        <f>IF(K42="",0,(I43-K43)*ABS(K46)*10)</f>
        <v>0</v>
      </c>
      <c r="O43" s="334"/>
      <c r="P43" s="339" t="s">
        <v>397</v>
      </c>
      <c r="Q43" s="284"/>
      <c r="R43" s="81">
        <f>IF(Q42="",0,(Q43-$J$1)*ABS(Q46)*10)</f>
        <v>0</v>
      </c>
      <c r="S43" s="78"/>
      <c r="T43" s="285">
        <f>IF(S42="",0,(Q43-S43)*ABS(S46)*10)</f>
        <v>0</v>
      </c>
    </row>
    <row r="44" spans="7:22" s="54" customFormat="1" ht="15.75" customHeight="1">
      <c r="G44" s="327"/>
      <c r="H44" s="339" t="s">
        <v>94</v>
      </c>
      <c r="I44" s="286"/>
      <c r="J44" s="81">
        <f>IF(I42="",0,(I44-$I$6)*I42*0.001*$H$1)</f>
        <v>0</v>
      </c>
      <c r="K44" s="79"/>
      <c r="L44" s="287">
        <f>IF(K42="",0,(I44-K44)*K42*0.001*$H$1)</f>
        <v>0</v>
      </c>
      <c r="O44" s="327"/>
      <c r="P44" s="339" t="s">
        <v>94</v>
      </c>
      <c r="Q44" s="286"/>
      <c r="R44" s="81">
        <f>IF(Q42="",0,(Q44-$Q$6)*Q42*0.001*$H$1)</f>
        <v>0</v>
      </c>
      <c r="S44" s="79"/>
      <c r="T44" s="287">
        <f>IF(S42="",0,(Q44-S44)*S42*0.001*$H$1)</f>
        <v>0</v>
      </c>
    </row>
    <row r="45" spans="7:22" s="54" customFormat="1" ht="15.75" customHeight="1" thickBot="1">
      <c r="G45" s="328"/>
      <c r="H45" s="340" t="s">
        <v>374</v>
      </c>
      <c r="I45" s="294"/>
      <c r="J45" s="295">
        <f>IF(I42="",0,($K$8-I45)*I42*0.001)</f>
        <v>0</v>
      </c>
      <c r="K45" s="296"/>
      <c r="L45" s="297">
        <f>IF(K42="",0,((K45-I45)*K42*0.001))</f>
        <v>0</v>
      </c>
      <c r="O45" s="328"/>
      <c r="P45" s="340" t="s">
        <v>374</v>
      </c>
      <c r="Q45" s="294"/>
      <c r="R45" s="295">
        <f>IF(Q42="",0,($S$8-Q45)*Q42*0.001)</f>
        <v>0</v>
      </c>
      <c r="S45" s="296"/>
      <c r="T45" s="297">
        <f>IF(S42="",0,((S45-Q45)*S42*0.001))</f>
        <v>0</v>
      </c>
    </row>
    <row r="46" spans="7:22" s="54" customFormat="1" ht="15.75" customHeight="1" thickBot="1">
      <c r="G46" s="329"/>
      <c r="H46" s="82">
        <v>20</v>
      </c>
      <c r="I46" s="298" t="str">
        <f>IFERROR(-ROUNDDOWN(J41/I43*0.1,0),"-")</f>
        <v>-</v>
      </c>
      <c r="J46" s="150">
        <f>IF(J43="","-",J43+J44+J45)</f>
        <v>0</v>
      </c>
      <c r="K46" s="163" t="str">
        <f>IFERROR(-ROUNDDOWN(L41/K43*0.1,0),"-")</f>
        <v>-</v>
      </c>
      <c r="L46" s="299">
        <f>IF(L43="","-",L43+L44+L45)</f>
        <v>0</v>
      </c>
      <c r="O46" s="329"/>
      <c r="P46" s="82">
        <v>20</v>
      </c>
      <c r="Q46" s="298" t="str">
        <f>IFERROR(-ROUNDDOWN(R41/Q43*0.1,0),"-")</f>
        <v>-</v>
      </c>
      <c r="R46" s="150">
        <f>IF(R43="","-",R43+R44+R45)</f>
        <v>0</v>
      </c>
      <c r="S46" s="163" t="str">
        <f>IFERROR(-ROUNDDOWN(T41/S43*0.1,0),"-")</f>
        <v>-</v>
      </c>
      <c r="T46" s="299">
        <f>IF(T43="","-",T43+T44+T45)</f>
        <v>0</v>
      </c>
    </row>
    <row r="47" spans="7:22" s="54" customFormat="1" ht="15.75" customHeight="1">
      <c r="G47" s="268"/>
      <c r="H47" s="267">
        <f ca="1">H46*$K$7/($H$1*10000)</f>
        <v>2.5106413678666764</v>
      </c>
      <c r="I47" s="300" t="s">
        <v>558</v>
      </c>
      <c r="J47" s="278" t="str">
        <f>IFERROR(0.4*ABS(I46)+(0.006%*0.1+0.016%)*J41,"-")</f>
        <v>-</v>
      </c>
      <c r="K47" s="279" t="str">
        <f ca="1">IFERROR(($J$1-$J$2)*ABS(I46)*10+($J$6-$J$8+$L$6-$L$8)*I42*0.001,"-")</f>
        <v>-</v>
      </c>
      <c r="L47" s="276" t="str">
        <f ca="1">IFERROR((J47+K47)/J41,"-")</f>
        <v>-</v>
      </c>
      <c r="O47" s="268"/>
      <c r="P47" s="267">
        <f ca="1">P46*$S$7/($H$1*10000)</f>
        <v>0.40833994661279849</v>
      </c>
      <c r="Q47" s="300" t="s">
        <v>557</v>
      </c>
      <c r="R47" s="278" t="str">
        <f>IFERROR(0.4*ABS(Q46)+(0.006%*0.1+0.016%)*R41,"-")</f>
        <v>-</v>
      </c>
      <c r="S47" s="279" t="str">
        <f ca="1">IFERROR(($J$1-$J$2)*ABS(Q46)*10+($R$6-$R$8+$T$6-$T$8)*Q42*0.001,"-")</f>
        <v>-</v>
      </c>
      <c r="T47" s="276" t="str">
        <f ca="1">IFERROR((R47+S47)/R41,"-")</f>
        <v>-</v>
      </c>
    </row>
    <row r="48" spans="7:22" s="54" customFormat="1" ht="6.75" customHeight="1" thickBot="1">
      <c r="G48" s="323"/>
      <c r="H48" s="83"/>
      <c r="I48" s="82"/>
      <c r="J48" s="83"/>
      <c r="K48" s="83"/>
      <c r="L48" s="83"/>
      <c r="O48" s="323"/>
      <c r="P48" s="83"/>
      <c r="Q48" s="82"/>
      <c r="R48" s="83"/>
      <c r="S48" s="83"/>
      <c r="T48" s="83"/>
    </row>
    <row r="49" spans="3:27" s="54" customFormat="1" ht="15.75" customHeight="1" thickBot="1">
      <c r="G49" s="324"/>
      <c r="H49" s="85" t="s">
        <v>556</v>
      </c>
      <c r="I49" s="277" t="str">
        <f>IF(I51="","-",(I51*I52-I53)/I53)</f>
        <v>-</v>
      </c>
      <c r="J49" s="80">
        <f>I53*I50*0.001</f>
        <v>0</v>
      </c>
      <c r="K49" s="277" t="str">
        <f>IF(K51="","-",(K51*K52-K53)/K53)</f>
        <v>-</v>
      </c>
      <c r="L49" s="80">
        <f>K53*K50*0.001</f>
        <v>0</v>
      </c>
      <c r="O49" s="324"/>
      <c r="P49" s="85" t="s">
        <v>555</v>
      </c>
      <c r="Q49" s="277" t="str">
        <f>IF(Q51="","-",(Q51*Q52-Q53)/Q53)</f>
        <v>-</v>
      </c>
      <c r="R49" s="80">
        <f>Q53*Q50*0.001</f>
        <v>0</v>
      </c>
      <c r="S49" s="277" t="str">
        <f>IF(S51="","-",(S51*S52-S53)/S53)</f>
        <v>-</v>
      </c>
      <c r="T49" s="80">
        <f>S53*S50*0.001</f>
        <v>0</v>
      </c>
    </row>
    <row r="50" spans="3:27" s="54" customFormat="1" ht="15.75" customHeight="1" thickBot="1">
      <c r="G50" s="333"/>
      <c r="H50" s="124" t="s">
        <v>565</v>
      </c>
      <c r="I50" s="280"/>
      <c r="J50" s="281" t="s">
        <v>368</v>
      </c>
      <c r="K50" s="282"/>
      <c r="L50" s="283" t="s">
        <v>106</v>
      </c>
      <c r="O50" s="333"/>
      <c r="P50" s="124" t="s">
        <v>565</v>
      </c>
      <c r="Q50" s="280"/>
      <c r="R50" s="281" t="s">
        <v>560</v>
      </c>
      <c r="S50" s="282"/>
      <c r="T50" s="283" t="s">
        <v>561</v>
      </c>
    </row>
    <row r="51" spans="3:27" s="54" customFormat="1" ht="15.75" customHeight="1">
      <c r="G51" s="334"/>
      <c r="H51" s="264" t="s">
        <v>399</v>
      </c>
      <c r="I51" s="284"/>
      <c r="J51" s="81">
        <f>IF(I50="",0,($J$2-I51)*ABS(I54)*10)</f>
        <v>0</v>
      </c>
      <c r="K51" s="78"/>
      <c r="L51" s="285">
        <f>IF(K50="",0,(K51-I51)*ABS(K54)*10)</f>
        <v>0</v>
      </c>
      <c r="O51" s="334"/>
      <c r="P51" s="264" t="s">
        <v>399</v>
      </c>
      <c r="Q51" s="284"/>
      <c r="R51" s="81">
        <f>IF(Q50="",0,($J$2-Q51)*ABS(Q54)*10)</f>
        <v>0</v>
      </c>
      <c r="S51" s="78"/>
      <c r="T51" s="285">
        <f>IF(S50="",0,(S51-Q51)*ABS(S54)*10)</f>
        <v>0</v>
      </c>
    </row>
    <row r="52" spans="3:27" s="54" customFormat="1" ht="15.75" customHeight="1">
      <c r="G52" s="327"/>
      <c r="H52" s="265" t="s">
        <v>95</v>
      </c>
      <c r="I52" s="286"/>
      <c r="J52" s="81">
        <f>IF(I50="",0,($I$8-I52)*I50*0.001*$H$1)</f>
        <v>0</v>
      </c>
      <c r="K52" s="79"/>
      <c r="L52" s="287">
        <f>IF(K50="",0,(K52-I52)*K50*0.001*$H$1)</f>
        <v>0</v>
      </c>
      <c r="O52" s="327"/>
      <c r="P52" s="265" t="s">
        <v>95</v>
      </c>
      <c r="Q52" s="286"/>
      <c r="R52" s="81">
        <f>IF(Q50="",0,($Q$8-Q52)*Q50*0.001*$H$1)</f>
        <v>0</v>
      </c>
      <c r="S52" s="79"/>
      <c r="T52" s="287">
        <f>IF(S50="",0,(S52-Q52)*S50*0.001*$H$1)</f>
        <v>0</v>
      </c>
    </row>
    <row r="53" spans="3:27" s="54" customFormat="1" ht="15.75" customHeight="1" thickBot="1">
      <c r="G53" s="328"/>
      <c r="H53" s="266" t="s">
        <v>404</v>
      </c>
      <c r="I53" s="288"/>
      <c r="J53" s="94">
        <f>IF(I50="",0,(I53-$K$6)*I50*0.001)</f>
        <v>0</v>
      </c>
      <c r="K53" s="93"/>
      <c r="L53" s="289">
        <f>IF(K50="",0,((I53-K53)*K50*0.001))</f>
        <v>0</v>
      </c>
      <c r="O53" s="328"/>
      <c r="P53" s="266" t="s">
        <v>404</v>
      </c>
      <c r="Q53" s="288"/>
      <c r="R53" s="94">
        <f>IF(Q50="",0,(Q53-$S$6)*Q50*0.001)</f>
        <v>0</v>
      </c>
      <c r="S53" s="93"/>
      <c r="T53" s="289">
        <f>IF(S50="",0,((Q53-S53)*S50*0.001))</f>
        <v>0</v>
      </c>
    </row>
    <row r="54" spans="3:27" ht="15.75" customHeight="1" thickBot="1">
      <c r="G54" s="329"/>
      <c r="H54" s="82">
        <v>20</v>
      </c>
      <c r="I54" s="298" t="str">
        <f>IFERROR(ROUNDDOWN(J49/I51*0.1,0),"-")</f>
        <v>-</v>
      </c>
      <c r="J54" s="150">
        <f>IF(J51="","-",J51+J52+J53)</f>
        <v>0</v>
      </c>
      <c r="K54" s="163" t="str">
        <f>IFERROR(ROUNDDOWN(L49/K51*0.1,0),"-")</f>
        <v>-</v>
      </c>
      <c r="L54" s="299">
        <f>IF(L51="","-",L51+L52+L53)</f>
        <v>0</v>
      </c>
      <c r="M54" s="46"/>
      <c r="N54" s="54"/>
      <c r="O54" s="329"/>
      <c r="P54" s="82">
        <v>20</v>
      </c>
      <c r="Q54" s="298" t="str">
        <f>IFERROR(ROUNDDOWN(R49/Q51*0.1,0),"-")</f>
        <v>-</v>
      </c>
      <c r="R54" s="150">
        <f>IF(R51="","-",R51+R52+R53)</f>
        <v>0</v>
      </c>
      <c r="S54" s="163" t="str">
        <f>IFERROR(ROUNDDOWN(T49/S51*0.1,0),"-")</f>
        <v>-</v>
      </c>
      <c r="T54" s="299">
        <f>IF(T51="","-",T51+T52+T53)</f>
        <v>0</v>
      </c>
    </row>
    <row r="55" spans="3:27" s="54" customFormat="1" ht="15.75" customHeight="1">
      <c r="F55" s="82"/>
      <c r="G55" s="268"/>
      <c r="H55" s="267">
        <f ca="1">H54*$K$7/($H$1*10000)</f>
        <v>2.5106413678666764</v>
      </c>
      <c r="I55" s="300" t="s">
        <v>558</v>
      </c>
      <c r="J55" s="278" t="str">
        <f>IFERROR(0.4*ABS(I54)+(0.006%*0.1+0.016%)*J49,"-")</f>
        <v>-</v>
      </c>
      <c r="K55" s="279" t="str">
        <f ca="1">IFERROR(($J$1-$J$2)*ABS(I54)*10+($J$6-$J$8+$L$6-$L$8)*I50*0.001,"-")</f>
        <v>-</v>
      </c>
      <c r="L55" s="276" t="str">
        <f ca="1">IFERROR((J55+K55)/J49,"-")</f>
        <v>-</v>
      </c>
      <c r="O55" s="268"/>
      <c r="P55" s="267">
        <f ca="1">P54*$S$7/($H$1*10000)</f>
        <v>0.40833994661279849</v>
      </c>
      <c r="Q55" s="300" t="s">
        <v>557</v>
      </c>
      <c r="R55" s="278" t="str">
        <f>IFERROR(0.4*ABS(Q54)+(0.006%*0.1+0.016%)*R49,"-")</f>
        <v>-</v>
      </c>
      <c r="S55" s="279" t="str">
        <f ca="1">IFERROR(($J$1-$J$2)*ABS(Q54)*10+($R$6-$R$8+$T$6-$T$8)*Q50*0.001,"-")</f>
        <v>-</v>
      </c>
      <c r="T55" s="276" t="str">
        <f ca="1">IFERROR((R55+S55)/R49,"-")</f>
        <v>-</v>
      </c>
    </row>
    <row r="56" spans="3:27" s="54" customFormat="1" ht="15.75" customHeight="1">
      <c r="F56" s="82"/>
      <c r="G56" s="82"/>
      <c r="O56" s="82"/>
      <c r="P56" s="56"/>
      <c r="Q56" s="56"/>
    </row>
    <row r="57" spans="3:27" s="54" customFormat="1" ht="15.75" customHeight="1">
      <c r="F57" s="82"/>
      <c r="H57" s="173" t="s">
        <v>182</v>
      </c>
      <c r="I57" s="174" t="s">
        <v>181</v>
      </c>
      <c r="J57" s="173" t="s">
        <v>115</v>
      </c>
      <c r="O57" s="82"/>
      <c r="P57" s="152"/>
      <c r="Q57" s="358" t="s">
        <v>580</v>
      </c>
      <c r="R57" s="380">
        <f>(S59-Q59)*R59</f>
        <v>2749.9999999999545</v>
      </c>
      <c r="S57" s="359" t="s">
        <v>579</v>
      </c>
      <c r="T57" s="380">
        <f ca="1">R57*H1</f>
        <v>3811774.9999999367</v>
      </c>
    </row>
    <row r="58" spans="3:27" s="54" customFormat="1" ht="15.75" customHeight="1" thickBot="1">
      <c r="F58" s="82"/>
      <c r="H58" s="164" t="str">
        <f>IFERROR(H60/H59/10,"-")</f>
        <v>-</v>
      </c>
      <c r="I58" s="169">
        <f>SUM(I59:I65)</f>
        <v>0</v>
      </c>
      <c r="J58" s="170" t="e">
        <f>(I59*J59+I60*J60+I61*J61+I62*J62+I63*J63+I64*J64+I65*J65)/I58</f>
        <v>#DIV/0!</v>
      </c>
      <c r="O58" s="82"/>
      <c r="Q58" s="360" t="s">
        <v>577</v>
      </c>
      <c r="R58" s="353" t="s">
        <v>481</v>
      </c>
      <c r="S58" s="354" t="s">
        <v>578</v>
      </c>
      <c r="T58" s="361" t="s">
        <v>481</v>
      </c>
    </row>
    <row r="59" spans="3:27" s="54" customFormat="1" ht="15.75" customHeight="1">
      <c r="F59" s="82"/>
      <c r="H59" s="165"/>
      <c r="I59" s="175"/>
      <c r="J59" s="171"/>
      <c r="O59" s="82"/>
      <c r="Q59" s="374">
        <f>SUM(Q65:Q69)/R59</f>
        <v>1218.6333333333334</v>
      </c>
      <c r="R59" s="375">
        <f>SUM(R60:R64)</f>
        <v>300</v>
      </c>
      <c r="S59" s="368">
        <f>SUM(S65:S69)/T59</f>
        <v>1227.8</v>
      </c>
      <c r="T59" s="369">
        <f>SUM(T60:T64)</f>
        <v>300</v>
      </c>
    </row>
    <row r="60" spans="3:27" s="54" customFormat="1" ht="15.75" customHeight="1">
      <c r="F60" s="82"/>
      <c r="H60" s="166"/>
      <c r="I60" s="175"/>
      <c r="J60" s="171"/>
      <c r="O60" s="82"/>
      <c r="Q60" s="376">
        <v>1221</v>
      </c>
      <c r="R60" s="377">
        <v>100</v>
      </c>
      <c r="S60" s="370">
        <v>1227.8</v>
      </c>
      <c r="T60" s="371">
        <v>300</v>
      </c>
    </row>
    <row r="61" spans="3:27" s="54" customFormat="1" ht="15.75" customHeight="1">
      <c r="F61" s="82"/>
      <c r="H61" s="167" t="str">
        <f>IFERROR(H63/H62*100,"-")</f>
        <v>-</v>
      </c>
      <c r="I61" s="175"/>
      <c r="J61" s="171"/>
      <c r="O61" s="82"/>
      <c r="Q61" s="376">
        <v>1218.4000000000001</v>
      </c>
      <c r="R61" s="377">
        <v>100</v>
      </c>
      <c r="S61" s="370"/>
      <c r="T61" s="371"/>
    </row>
    <row r="62" spans="3:27" s="54" customFormat="1" ht="15.75" customHeight="1">
      <c r="F62" s="82"/>
      <c r="H62" s="168"/>
      <c r="I62" s="175"/>
      <c r="J62" s="171"/>
      <c r="M62" s="82"/>
      <c r="N62" s="82"/>
      <c r="O62" s="82"/>
      <c r="Q62" s="376">
        <v>1216.5</v>
      </c>
      <c r="R62" s="377">
        <v>100</v>
      </c>
      <c r="S62" s="370"/>
      <c r="T62" s="371"/>
      <c r="X62" s="152"/>
      <c r="AA62" s="152"/>
    </row>
    <row r="63" spans="3:27" ht="15" customHeight="1">
      <c r="F63" s="92"/>
      <c r="H63" s="166"/>
      <c r="I63" s="175"/>
      <c r="J63" s="171"/>
      <c r="O63" s="82"/>
      <c r="P63" s="82"/>
      <c r="Q63" s="376"/>
      <c r="R63" s="377"/>
      <c r="S63" s="370"/>
      <c r="T63" s="371"/>
      <c r="U63" s="54"/>
      <c r="X63" s="152"/>
      <c r="AA63" s="152"/>
    </row>
    <row r="64" spans="3:27" ht="15" customHeight="1" thickBot="1">
      <c r="C64" s="66"/>
      <c r="D64" s="66"/>
      <c r="E64" s="66"/>
      <c r="H64" s="134" t="s">
        <v>184</v>
      </c>
      <c r="I64" s="175"/>
      <c r="J64" s="171"/>
      <c r="O64" s="82"/>
      <c r="P64" s="82"/>
      <c r="Q64" s="378"/>
      <c r="R64" s="379"/>
      <c r="S64" s="372"/>
      <c r="T64" s="373"/>
      <c r="U64" s="54"/>
      <c r="X64" s="152"/>
      <c r="AA64" s="152"/>
    </row>
    <row r="65" spans="3:28" ht="15" customHeight="1">
      <c r="C65" s="66"/>
      <c r="D65" s="66"/>
      <c r="E65" s="66"/>
      <c r="H65" s="336">
        <v>46227.401388888888</v>
      </c>
      <c r="I65" s="176"/>
      <c r="J65" s="172"/>
      <c r="O65" s="82"/>
      <c r="Q65" s="362">
        <f>R60*Q60</f>
        <v>122100</v>
      </c>
      <c r="R65" s="355"/>
      <c r="S65" s="356">
        <f>T60*S60</f>
        <v>368340</v>
      </c>
      <c r="T65" s="363"/>
      <c r="AB65" s="54"/>
    </row>
    <row r="66" spans="3:28" ht="15" customHeight="1">
      <c r="C66" s="66"/>
      <c r="D66" s="66"/>
      <c r="E66" s="67"/>
      <c r="G66" s="217"/>
      <c r="H66" s="134"/>
      <c r="I66" s="134"/>
      <c r="J66" s="177"/>
      <c r="K66" s="67"/>
      <c r="O66" s="82"/>
      <c r="Q66" s="362">
        <f>R61*Q61</f>
        <v>121840.00000000001</v>
      </c>
      <c r="R66" s="355"/>
      <c r="S66" s="356">
        <f>T61*S61</f>
        <v>0</v>
      </c>
      <c r="T66" s="363"/>
      <c r="AB66" s="54"/>
    </row>
    <row r="67" spans="3:28" ht="15" customHeight="1">
      <c r="C67" s="66"/>
      <c r="D67" s="66"/>
      <c r="E67" s="67"/>
      <c r="J67" s="151"/>
      <c r="K67" s="67"/>
      <c r="O67" s="82"/>
      <c r="Q67" s="362">
        <f>R62*Q62</f>
        <v>121650</v>
      </c>
      <c r="R67" s="355"/>
      <c r="S67" s="356">
        <f>T62*S62</f>
        <v>0</v>
      </c>
      <c r="T67" s="363"/>
      <c r="AB67" s="54"/>
    </row>
    <row r="68" spans="3:28" ht="15" customHeight="1">
      <c r="C68" s="66"/>
      <c r="D68" s="66"/>
      <c r="E68" s="67"/>
      <c r="F68" s="67"/>
      <c r="J68" s="151"/>
      <c r="O68" s="82"/>
      <c r="Q68" s="362">
        <f>R63*Q63</f>
        <v>0</v>
      </c>
      <c r="R68" s="355"/>
      <c r="S68" s="356">
        <f>T63*S63</f>
        <v>0</v>
      </c>
      <c r="T68" s="363"/>
      <c r="AB68" s="54"/>
    </row>
    <row r="69" spans="3:28" ht="15" customHeight="1">
      <c r="C69" s="66"/>
      <c r="D69" s="66"/>
      <c r="E69" s="67"/>
      <c r="F69" s="67"/>
      <c r="J69" s="151"/>
      <c r="O69" s="68"/>
      <c r="Q69" s="364">
        <f>R64*Q64</f>
        <v>0</v>
      </c>
      <c r="R69" s="365"/>
      <c r="S69" s="366">
        <f>T64*S64</f>
        <v>0</v>
      </c>
      <c r="T69" s="367"/>
      <c r="AB69" s="357"/>
    </row>
    <row r="70" spans="3:28" ht="15" customHeight="1">
      <c r="J70" s="46"/>
      <c r="O70" s="82"/>
      <c r="P70" s="56"/>
      <c r="R70" s="46"/>
    </row>
    <row r="71" spans="3:28" ht="15" customHeight="1">
      <c r="E71" s="46"/>
      <c r="J71" s="46"/>
      <c r="O71" s="82"/>
      <c r="P71" s="56"/>
      <c r="R71" s="46"/>
    </row>
    <row r="72" spans="3:28" ht="15" customHeight="1">
      <c r="E72" s="44"/>
      <c r="F72" s="68"/>
      <c r="O72" s="323"/>
      <c r="P72" s="82"/>
    </row>
    <row r="73" spans="3:28" ht="15" customHeight="1">
      <c r="E73" s="44"/>
      <c r="F73" s="68"/>
      <c r="O73" s="323"/>
    </row>
    <row r="74" spans="3:28" ht="15" customHeight="1">
      <c r="E74" s="44"/>
      <c r="F74" s="68"/>
      <c r="O74" s="323"/>
    </row>
    <row r="75" spans="3:28" ht="15" customHeight="1">
      <c r="O75" s="323"/>
    </row>
    <row r="76" spans="3:28" ht="15" customHeight="1">
      <c r="O76" s="323"/>
    </row>
    <row r="77" spans="3:28" ht="15" customHeight="1"/>
    <row r="78" spans="3:28" ht="15" customHeight="1"/>
    <row r="79" spans="3:28" ht="15" customHeight="1"/>
    <row r="80" spans="3:28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</sheetData>
  <sheetProtection formatColumns="0"/>
  <protectedRanges>
    <protectedRange sqref="H57:J65 O72:U94 A56:F94 K56:N94 G56:J56 G66:J94 M31:M32 U31:U32 M1:AJ4 M39:M55 U39:U55 Q56:T56 O56:O71 R58:R64 Q58:Q69 P70:T71 P56:P57 S58:S69 T58:T64 V3:W57 V70:W94 AC1:AJ94 AB65:AB69 Y70:AB94 AA58:AA69 Y1:AB57 X3:X40 X42:X94" name="배경"/>
    <protectedRange sqref="G32:G37 G25:G29 H17 H14:H15 H11 G40:G45 G48:G53 M31:M32 O15:Q17 O25:O29 O32:O37 O39:O45 O48:O53 R4:U4 J4:L4 M3 N1:O3 S3:U3 P1:Q1 P3:Q3 R1:R3 G1:G4 H3:H4 M39:M55" name="셀근처배경"/>
    <protectedRange sqref="J17 L17:M17 T17:U17 R17 I26:I29 H30 P30 Q26:Q29 S26:S29 H38 I34:I37 K34:K37 P38 Q34:Q37 S34:S37 H46 I42:I45 K42:K45 P46 Q42:Q45 S42:S45 H54 I50:I53 K50:K53 P54 Q50:Q53 S50:S53 M26:M29 M34:M37 U26:U29 U34:U37" name="사용자입력"/>
  </protectedRanges>
  <mergeCells count="16">
    <mergeCell ref="K1:L2"/>
    <mergeCell ref="M9:M10"/>
    <mergeCell ref="M12:M13"/>
    <mergeCell ref="U9:U10"/>
    <mergeCell ref="U12:U13"/>
    <mergeCell ref="R9:R10"/>
    <mergeCell ref="T9:T10"/>
    <mergeCell ref="R12:R13"/>
    <mergeCell ref="T12:T13"/>
    <mergeCell ref="Q5:R5"/>
    <mergeCell ref="G3:H3"/>
    <mergeCell ref="L9:L10"/>
    <mergeCell ref="L12:L13"/>
    <mergeCell ref="J9:J10"/>
    <mergeCell ref="J12:J13"/>
    <mergeCell ref="I5:J5"/>
  </mergeCells>
  <phoneticPr fontId="11" type="noConversion"/>
  <conditionalFormatting sqref="Q6 I6:M6">
    <cfRule type="cellIs" dxfId="1" priority="33" operator="lessThanOrEqual">
      <formula>I$7</formula>
    </cfRule>
  </conditionalFormatting>
  <conditionalFormatting sqref="R6:U6">
    <cfRule type="cellIs" dxfId="0" priority="1" operator="lessThanOrEqual">
      <formula>R$7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ToggleMU">
              <controlPr defaultSize="0" print="0" autoFill="0" autoPict="0" macro="ToggleMU">
                <anchor moveWithCells="1" sizeWithCells="1">
                  <from>
                    <xdr:col>9</xdr:col>
                    <xdr:colOff>19050</xdr:colOff>
                    <xdr:row>2</xdr:row>
                    <xdr:rowOff>0</xdr:rowOff>
                  </from>
                  <to>
                    <xdr:col>10</xdr:col>
                    <xdr:colOff>419100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34EF3-54A6-4020-B8ED-FBD438316ED1}">
  <sheetPr codeName="Sheet4"/>
  <dimension ref="B1:O15"/>
  <sheetViews>
    <sheetView showGridLines="0" workbookViewId="0">
      <selection activeCell="E11" sqref="E11"/>
    </sheetView>
  </sheetViews>
  <sheetFormatPr defaultRowHeight="16.5"/>
  <cols>
    <col min="2" max="2" width="14.5" customWidth="1"/>
    <col min="3" max="5" width="10.625" customWidth="1"/>
    <col min="6" max="6" width="11.125" customWidth="1"/>
    <col min="7" max="9" width="10.625" customWidth="1"/>
  </cols>
  <sheetData>
    <row r="1" spans="2:15">
      <c r="B1" t="s">
        <v>589</v>
      </c>
    </row>
    <row r="4" spans="2:15">
      <c r="B4" s="54"/>
      <c r="D4" s="54"/>
      <c r="E4" s="54"/>
      <c r="G4" s="54"/>
      <c r="H4" s="71"/>
      <c r="M4" s="69" t="s">
        <v>116</v>
      </c>
      <c r="N4" s="69"/>
      <c r="O4" s="69"/>
    </row>
    <row r="5" spans="2:15">
      <c r="B5" s="413" t="s">
        <v>104</v>
      </c>
      <c r="C5" s="414" t="s">
        <v>583</v>
      </c>
      <c r="D5" s="415" t="s">
        <v>117</v>
      </c>
      <c r="E5" s="414" t="s">
        <v>118</v>
      </c>
      <c r="F5" s="415" t="s">
        <v>586</v>
      </c>
      <c r="K5" s="69"/>
      <c r="M5" s="125" t="s">
        <v>105</v>
      </c>
      <c r="N5" s="69"/>
      <c r="O5" s="69"/>
    </row>
    <row r="6" spans="2:15">
      <c r="B6" s="416"/>
      <c r="C6" s="417" t="s">
        <v>102</v>
      </c>
      <c r="D6" s="417"/>
      <c r="E6" s="417"/>
      <c r="F6" s="418" t="s">
        <v>587</v>
      </c>
      <c r="K6" s="69"/>
      <c r="L6" s="69"/>
      <c r="M6" s="69"/>
      <c r="N6" s="69"/>
      <c r="O6" s="69"/>
    </row>
    <row r="7" spans="2:15">
      <c r="B7" s="419"/>
      <c r="C7" s="420" t="s">
        <v>101</v>
      </c>
      <c r="D7" s="421"/>
      <c r="E7" s="420"/>
      <c r="F7" s="421"/>
      <c r="K7" s="69"/>
      <c r="L7" s="69"/>
      <c r="M7" s="69"/>
      <c r="N7" s="69"/>
      <c r="O7" s="69"/>
    </row>
    <row r="8" spans="2:15">
      <c r="B8" s="422" t="s">
        <v>425</v>
      </c>
      <c r="C8" s="415" t="s">
        <v>96</v>
      </c>
      <c r="D8" s="415" t="s">
        <v>98</v>
      </c>
      <c r="E8" s="415" t="s">
        <v>97</v>
      </c>
      <c r="F8" s="423" t="s">
        <v>588</v>
      </c>
      <c r="I8" s="54"/>
      <c r="M8" s="69"/>
      <c r="N8" s="69"/>
      <c r="O8" s="69"/>
    </row>
    <row r="9" spans="2:15">
      <c r="B9" s="416"/>
      <c r="C9" s="410">
        <f ca="1">(메인!J9+메인!J12)*0.5</f>
        <v>-1.9361862072267502E-3</v>
      </c>
      <c r="D9" s="411">
        <f ca="1">(메인!L9+메인!L12)*0.5</f>
        <v>-2.6286837316762367E-3</v>
      </c>
      <c r="E9" s="410">
        <f>메인!K9</f>
        <v>1.2660535869673398E-3</v>
      </c>
      <c r="F9" s="424">
        <f>메인!I17</f>
        <v>0.32918362461096473</v>
      </c>
      <c r="J9" s="59"/>
      <c r="K9" s="70"/>
      <c r="L9" s="69"/>
      <c r="M9" s="69"/>
      <c r="N9" s="69"/>
      <c r="O9" s="69"/>
    </row>
    <row r="10" spans="2:15">
      <c r="B10" s="416"/>
      <c r="C10" s="415" t="s">
        <v>99</v>
      </c>
      <c r="D10" s="415" t="s">
        <v>591</v>
      </c>
      <c r="E10" s="415" t="s">
        <v>100</v>
      </c>
      <c r="F10" s="423" t="s">
        <v>590</v>
      </c>
      <c r="J10" s="54"/>
      <c r="K10" s="54"/>
      <c r="M10" t="s">
        <v>119</v>
      </c>
    </row>
    <row r="11" spans="2:15">
      <c r="B11" s="419"/>
      <c r="C11" s="412">
        <f ca="1">(메인!R9+메인!R12)*0.5</f>
        <v>-6.8340523468531165E-4</v>
      </c>
      <c r="D11" s="411">
        <f ca="1">(메인!T9+메인!T12)*0.5</f>
        <v>-2.6102159065323816E-3</v>
      </c>
      <c r="E11" s="410">
        <f>메인!S9</f>
        <v>1.9250013273743138E-3</v>
      </c>
      <c r="F11" s="425">
        <f>메인!I7</f>
        <v>1253.0999999999999</v>
      </c>
      <c r="J11" s="59"/>
      <c r="K11" s="59"/>
      <c r="M11" t="s">
        <v>120</v>
      </c>
    </row>
    <row r="12" spans="2:15">
      <c r="B12" s="422" t="s">
        <v>151</v>
      </c>
      <c r="C12" s="415" t="s">
        <v>584</v>
      </c>
      <c r="D12" s="426"/>
      <c r="E12" s="426"/>
      <c r="F12" s="426"/>
      <c r="J12" s="59"/>
      <c r="K12" s="59"/>
    </row>
    <row r="13" spans="2:15">
      <c r="B13" s="416"/>
      <c r="C13" s="427">
        <f>시세!$D$60</f>
        <v>1740000</v>
      </c>
      <c r="D13" s="426"/>
      <c r="E13" s="426"/>
      <c r="F13" s="426"/>
    </row>
    <row r="14" spans="2:15">
      <c r="B14" s="416"/>
      <c r="C14" s="415" t="s">
        <v>585</v>
      </c>
      <c r="D14" s="426"/>
      <c r="E14" s="426"/>
      <c r="F14" s="426"/>
    </row>
    <row r="15" spans="2:15">
      <c r="B15" s="419"/>
      <c r="C15" s="428">
        <f>시세!$D$58</f>
        <v>283000</v>
      </c>
      <c r="D15" s="426"/>
      <c r="E15" s="426"/>
      <c r="F15" s="426"/>
    </row>
  </sheetData>
  <mergeCells count="3">
    <mergeCell ref="B8:B11"/>
    <mergeCell ref="B12:B15"/>
    <mergeCell ref="B5:B7"/>
  </mergeCells>
  <phoneticPr fontId="1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1D7FE-4DE6-4DDD-8C63-2FB3FC96DE93}">
  <sheetPr codeName="Sheet3"/>
  <dimension ref="A2:B3"/>
  <sheetViews>
    <sheetView workbookViewId="0">
      <selection activeCell="B4" sqref="B4"/>
    </sheetView>
  </sheetViews>
  <sheetFormatPr defaultRowHeight="16.5"/>
  <sheetData>
    <row r="2" spans="1:2">
      <c r="A2" t="s">
        <v>534</v>
      </c>
    </row>
    <row r="3" spans="1:2">
      <c r="B3" t="s">
        <v>535</v>
      </c>
    </row>
  </sheetData>
  <phoneticPr fontId="1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S83"/>
  <sheetViews>
    <sheetView workbookViewId="0"/>
  </sheetViews>
  <sheetFormatPr defaultRowHeight="16.5"/>
  <cols>
    <col min="1" max="1" width="21.875" customWidth="1"/>
    <col min="2" max="2" width="18.125" customWidth="1"/>
    <col min="3" max="3" width="25.875" customWidth="1"/>
    <col min="4" max="4" width="6.625" customWidth="1"/>
    <col min="6" max="6" width="7.125" customWidth="1"/>
  </cols>
  <sheetData>
    <row r="1" spans="1:17">
      <c r="A1" s="54" t="s">
        <v>131</v>
      </c>
      <c r="F1" s="9"/>
      <c r="G1" s="9"/>
      <c r="H1" s="9"/>
      <c r="I1" s="9"/>
      <c r="J1" s="9"/>
    </row>
    <row r="2" spans="1:17">
      <c r="A2" s="136" t="s">
        <v>132</v>
      </c>
      <c r="B2" s="9"/>
      <c r="C2" s="9"/>
      <c r="D2" s="14"/>
      <c r="E2" s="15"/>
      <c r="F2" s="15"/>
      <c r="G2" s="15"/>
      <c r="H2" s="15"/>
      <c r="I2" s="16"/>
      <c r="J2" s="16"/>
      <c r="K2" s="16"/>
      <c r="L2" s="16"/>
      <c r="M2" s="16"/>
      <c r="N2" s="16"/>
      <c r="O2" s="16"/>
      <c r="P2" s="16"/>
      <c r="Q2" s="17"/>
    </row>
    <row r="3" spans="1:17">
      <c r="A3" s="63"/>
      <c r="B3" s="9"/>
      <c r="C3" s="9"/>
      <c r="D3" s="18"/>
      <c r="E3" s="19"/>
      <c r="F3" s="19"/>
      <c r="G3" s="19"/>
      <c r="H3" s="19" t="s">
        <v>45</v>
      </c>
      <c r="I3" s="19"/>
      <c r="J3" s="19"/>
      <c r="K3" s="19" t="s">
        <v>46</v>
      </c>
      <c r="L3" s="19"/>
      <c r="M3" s="19"/>
      <c r="N3" s="19" t="s">
        <v>47</v>
      </c>
      <c r="O3" s="19"/>
      <c r="P3" s="19"/>
      <c r="Q3" s="20"/>
    </row>
    <row r="4" spans="1:17">
      <c r="A4" s="9"/>
      <c r="B4" s="9"/>
      <c r="D4" s="18"/>
      <c r="E4" s="19"/>
      <c r="F4" s="19"/>
      <c r="G4" s="19" t="s">
        <v>48</v>
      </c>
      <c r="H4" s="19"/>
      <c r="I4" s="19"/>
      <c r="J4" s="19"/>
      <c r="K4" s="19" t="s">
        <v>44</v>
      </c>
      <c r="L4" s="19" t="s">
        <v>31</v>
      </c>
      <c r="M4" s="19"/>
      <c r="N4" s="19" t="s">
        <v>44</v>
      </c>
      <c r="O4" s="19" t="s">
        <v>31</v>
      </c>
      <c r="P4" s="19" t="s">
        <v>49</v>
      </c>
      <c r="Q4" s="20"/>
    </row>
    <row r="5" spans="1:17">
      <c r="D5" s="18"/>
      <c r="E5" s="19"/>
      <c r="F5" s="19"/>
      <c r="G5" s="19"/>
      <c r="H5" s="19" t="s">
        <v>50</v>
      </c>
      <c r="I5" s="13">
        <f>0.01%+0.01%</f>
        <v>2.0000000000000001E-4</v>
      </c>
      <c r="J5" s="13">
        <f>I5*2+0.2%</f>
        <v>2.4000000000000002E-3</v>
      </c>
      <c r="K5" s="21">
        <f>N5+J5</f>
        <v>2.7703703703703705E-3</v>
      </c>
      <c r="L5" s="21">
        <f>J5+O5</f>
        <v>3.8285714285714286E-3</v>
      </c>
      <c r="M5" s="19" t="s">
        <v>51</v>
      </c>
      <c r="N5" s="13">
        <f>1000/2700000</f>
        <v>3.7037037037037035E-4</v>
      </c>
      <c r="O5" s="13">
        <f>500/350000</f>
        <v>1.4285714285714286E-3</v>
      </c>
      <c r="P5" s="19"/>
      <c r="Q5" s="20"/>
    </row>
    <row r="6" spans="1:17">
      <c r="A6" s="155" t="s">
        <v>42</v>
      </c>
      <c r="D6" s="18" t="s">
        <v>43</v>
      </c>
      <c r="E6" s="19"/>
      <c r="F6" s="19"/>
      <c r="G6" s="19"/>
      <c r="H6" s="19" t="s">
        <v>52</v>
      </c>
      <c r="I6" s="13">
        <f>0.01%+0.003%*0.1</f>
        <v>1.0300000000000001E-4</v>
      </c>
      <c r="J6" s="13">
        <f>I6*2</f>
        <v>2.0600000000000002E-4</v>
      </c>
      <c r="K6" s="21">
        <f>J6+N5</f>
        <v>5.7637037037037032E-4</v>
      </c>
      <c r="L6" s="21">
        <f>J6+O5</f>
        <v>1.6345714285714286E-3</v>
      </c>
      <c r="M6" s="19"/>
      <c r="N6" s="19"/>
      <c r="O6" s="19"/>
      <c r="P6" s="19"/>
      <c r="Q6" s="20"/>
    </row>
    <row r="7" spans="1:17">
      <c r="A7" s="59" t="s">
        <v>149</v>
      </c>
      <c r="B7" s="129" t="s">
        <v>121</v>
      </c>
      <c r="C7" s="46"/>
      <c r="D7" s="18" t="s">
        <v>53</v>
      </c>
      <c r="E7" s="21">
        <v>1E-4</v>
      </c>
      <c r="F7" s="19"/>
      <c r="G7" s="19" t="s">
        <v>54</v>
      </c>
      <c r="H7" s="19" t="s">
        <v>55</v>
      </c>
      <c r="I7" s="13">
        <f>0.01%+0.01%*0.5</f>
        <v>1.5000000000000001E-4</v>
      </c>
      <c r="J7" s="13">
        <f>0.01%+0.01%*0.5</f>
        <v>1.5000000000000001E-4</v>
      </c>
      <c r="K7" s="21">
        <f>J7+N8</f>
        <v>3.5000000000000005E-4</v>
      </c>
      <c r="L7" s="21">
        <f>J7+N8</f>
        <v>3.5000000000000005E-4</v>
      </c>
      <c r="M7" s="19"/>
      <c r="N7" s="19" t="s">
        <v>55</v>
      </c>
      <c r="O7" s="19"/>
      <c r="P7" s="19"/>
      <c r="Q7" s="20"/>
    </row>
    <row r="8" spans="1:17">
      <c r="A8" s="9"/>
      <c r="B8" s="9"/>
      <c r="C8" s="9"/>
      <c r="D8" s="18" t="s">
        <v>56</v>
      </c>
      <c r="E8" s="21">
        <v>3.5E-4</v>
      </c>
      <c r="F8" s="19"/>
      <c r="G8" s="19"/>
      <c r="H8" s="19"/>
      <c r="I8" s="19"/>
      <c r="J8" s="19"/>
      <c r="K8" s="19"/>
      <c r="L8" s="19"/>
      <c r="M8" s="19"/>
      <c r="N8" s="12">
        <f>5/25000</f>
        <v>2.0000000000000001E-4</v>
      </c>
      <c r="O8" s="19"/>
      <c r="P8" s="19"/>
      <c r="Q8" s="20"/>
    </row>
    <row r="9" spans="1:17">
      <c r="A9" s="9"/>
      <c r="B9" s="9"/>
      <c r="C9" s="98"/>
      <c r="D9" s="18"/>
      <c r="E9" s="19"/>
      <c r="F9" s="19"/>
      <c r="G9" s="19" t="s">
        <v>57</v>
      </c>
      <c r="H9" s="19" t="s">
        <v>58</v>
      </c>
      <c r="I9" s="19"/>
      <c r="J9" s="19"/>
      <c r="K9" s="19"/>
      <c r="L9" s="19"/>
      <c r="M9" s="19"/>
      <c r="N9" s="19"/>
      <c r="O9" s="19"/>
      <c r="P9" s="19"/>
      <c r="Q9" s="20"/>
    </row>
    <row r="10" spans="1:17">
      <c r="A10" s="96"/>
      <c r="B10" s="96"/>
      <c r="C10" s="97"/>
      <c r="D10" s="22"/>
      <c r="E10" s="23"/>
      <c r="F10" s="23"/>
      <c r="G10" s="23"/>
      <c r="H10" s="24">
        <f>1/1540</f>
        <v>6.4935064935064935E-4</v>
      </c>
      <c r="I10" s="23"/>
      <c r="J10" s="23"/>
      <c r="K10" s="23"/>
      <c r="L10" s="23"/>
      <c r="M10" s="23"/>
      <c r="N10" s="23"/>
      <c r="O10" s="23"/>
      <c r="P10" s="23"/>
      <c r="Q10" s="25"/>
    </row>
    <row r="11" spans="1:17">
      <c r="A11" s="9"/>
      <c r="B11" s="98"/>
      <c r="C11" s="96"/>
      <c r="F11" s="9"/>
      <c r="G11" s="9"/>
      <c r="H11" s="9"/>
      <c r="I11" s="9"/>
      <c r="J11" s="9"/>
    </row>
    <row r="12" spans="1:17">
      <c r="A12" s="96"/>
      <c r="B12" s="97"/>
      <c r="C12" s="97"/>
      <c r="H12" s="9"/>
      <c r="I12" s="9"/>
      <c r="J12" s="9"/>
      <c r="N12" s="26" t="s">
        <v>59</v>
      </c>
      <c r="O12" s="16"/>
      <c r="P12" s="16"/>
      <c r="Q12" s="17"/>
    </row>
    <row r="13" spans="1:17">
      <c r="A13" s="46" t="s">
        <v>138</v>
      </c>
      <c r="B13" s="46" t="s">
        <v>139</v>
      </c>
      <c r="C13" s="46" t="s">
        <v>140</v>
      </c>
      <c r="D13" s="46"/>
      <c r="E13" s="46"/>
      <c r="H13" s="9"/>
      <c r="I13" s="9"/>
      <c r="J13" s="9"/>
      <c r="N13" s="18" t="s">
        <v>60</v>
      </c>
      <c r="O13" s="19"/>
      <c r="P13" s="19"/>
      <c r="Q13" s="20"/>
    </row>
    <row r="14" spans="1:17">
      <c r="A14" s="46"/>
      <c r="B14" s="46"/>
      <c r="C14" s="46" t="s">
        <v>142</v>
      </c>
      <c r="D14" s="46"/>
      <c r="E14" s="46"/>
      <c r="H14" s="9"/>
      <c r="I14" s="9"/>
      <c r="J14" s="9"/>
      <c r="N14" s="18" t="s">
        <v>61</v>
      </c>
      <c r="O14" s="19"/>
      <c r="P14" s="19"/>
      <c r="Q14" s="20"/>
    </row>
    <row r="15" spans="1:17" s="59" customFormat="1">
      <c r="A15" s="46"/>
      <c r="B15" s="46"/>
      <c r="C15" s="46"/>
      <c r="D15" s="46"/>
      <c r="E15" s="46"/>
      <c r="H15" s="96"/>
      <c r="I15" s="96"/>
      <c r="J15" s="96"/>
      <c r="N15" s="18" t="s">
        <v>62</v>
      </c>
      <c r="O15" s="19"/>
      <c r="P15" s="19"/>
      <c r="Q15" s="20"/>
    </row>
    <row r="16" spans="1:17" s="59" customFormat="1">
      <c r="A16" s="46"/>
      <c r="B16" s="46"/>
      <c r="C16" s="46"/>
      <c r="D16" s="46"/>
      <c r="E16" s="46"/>
      <c r="H16" s="96"/>
      <c r="I16" s="96"/>
      <c r="J16" s="96"/>
      <c r="N16" s="18" t="s">
        <v>63</v>
      </c>
      <c r="O16" s="19"/>
      <c r="P16" s="19"/>
      <c r="Q16" s="20"/>
    </row>
    <row r="17" spans="1:17" s="59" customFormat="1">
      <c r="A17" s="46" t="s">
        <v>146</v>
      </c>
      <c r="B17" s="46"/>
      <c r="D17" s="46"/>
      <c r="E17" s="54"/>
      <c r="H17" s="96"/>
      <c r="I17" s="96"/>
      <c r="J17" s="96"/>
      <c r="N17" s="18" t="s">
        <v>65</v>
      </c>
      <c r="O17" s="19"/>
      <c r="P17" s="19"/>
      <c r="Q17" s="20"/>
    </row>
    <row r="18" spans="1:17" s="59" customFormat="1">
      <c r="A18" s="55"/>
      <c r="B18" s="55"/>
      <c r="D18" s="55"/>
      <c r="E18" s="55"/>
      <c r="H18" s="96"/>
      <c r="I18" s="96"/>
      <c r="J18" s="96"/>
      <c r="N18" s="18"/>
      <c r="O18" s="19"/>
      <c r="P18" s="19"/>
      <c r="Q18" s="20"/>
    </row>
    <row r="19" spans="1:17" s="59" customFormat="1">
      <c r="A19" s="56"/>
      <c r="B19" s="56"/>
      <c r="D19" s="56"/>
      <c r="E19" s="56"/>
      <c r="H19" s="96"/>
      <c r="I19" s="96"/>
      <c r="J19" s="96"/>
      <c r="N19" s="18" t="s">
        <v>68</v>
      </c>
      <c r="O19" s="19"/>
      <c r="P19" s="19"/>
      <c r="Q19" s="20"/>
    </row>
    <row r="20" spans="1:17" s="59" customFormat="1">
      <c r="A20" s="56"/>
      <c r="B20" s="56"/>
      <c r="C20" s="56"/>
      <c r="D20" s="56"/>
      <c r="E20" s="56"/>
      <c r="H20" s="96"/>
      <c r="I20" s="96"/>
      <c r="J20" s="96"/>
      <c r="N20" s="18"/>
      <c r="O20" s="19"/>
      <c r="P20" s="19"/>
      <c r="Q20" s="20"/>
    </row>
    <row r="21" spans="1:17" s="59" customFormat="1">
      <c r="A21" s="56"/>
      <c r="B21" s="56"/>
      <c r="C21"/>
      <c r="D21" s="128"/>
      <c r="E21" s="56"/>
      <c r="H21" s="96"/>
      <c r="I21" s="96"/>
      <c r="J21" s="96"/>
      <c r="N21" s="18" t="s">
        <v>69</v>
      </c>
      <c r="O21" s="19"/>
      <c r="P21" s="19"/>
      <c r="Q21" s="20"/>
    </row>
    <row r="22" spans="1:17" s="59" customFormat="1">
      <c r="A22" s="56"/>
      <c r="B22" s="56"/>
      <c r="C22"/>
      <c r="D22" s="137"/>
      <c r="E22" s="56"/>
      <c r="H22" s="96"/>
      <c r="N22" s="18" t="s">
        <v>70</v>
      </c>
      <c r="O22" s="19"/>
      <c r="P22" s="19"/>
      <c r="Q22" s="20"/>
    </row>
    <row r="23" spans="1:17" s="59" customFormat="1">
      <c r="A23" s="153" t="s">
        <v>127</v>
      </c>
      <c r="B23" s="154"/>
      <c r="C23" s="122"/>
      <c r="D23" s="137"/>
      <c r="E23" s="56"/>
      <c r="H23" s="96"/>
      <c r="N23" s="18" t="s">
        <v>71</v>
      </c>
      <c r="O23" s="19"/>
      <c r="P23" s="19"/>
      <c r="Q23" s="20"/>
    </row>
    <row r="24" spans="1:17" s="59" customFormat="1">
      <c r="A24" s="153" t="s">
        <v>128</v>
      </c>
      <c r="B24" s="122"/>
      <c r="C24" s="122"/>
      <c r="D24"/>
      <c r="E24"/>
      <c r="H24" s="96"/>
      <c r="N24" s="18" t="s">
        <v>72</v>
      </c>
      <c r="O24" s="19"/>
      <c r="P24" s="19"/>
      <c r="Q24" s="20"/>
    </row>
    <row r="25" spans="1:17" s="59" customFormat="1">
      <c r="A25" s="153" t="s">
        <v>129</v>
      </c>
      <c r="B25" s="122"/>
      <c r="C25" s="122"/>
      <c r="D25"/>
      <c r="E25"/>
      <c r="H25" s="96"/>
      <c r="N25" s="18"/>
      <c r="O25" s="19"/>
      <c r="P25" s="19"/>
      <c r="Q25" s="20"/>
    </row>
    <row r="26" spans="1:17" s="59" customFormat="1">
      <c r="A26" s="153" t="s">
        <v>148</v>
      </c>
      <c r="B26" s="122"/>
      <c r="C26" s="122"/>
      <c r="D26"/>
      <c r="E26"/>
      <c r="H26" s="96"/>
      <c r="N26" s="18" t="s">
        <v>73</v>
      </c>
      <c r="O26" s="19"/>
      <c r="P26" s="19"/>
      <c r="Q26" s="20"/>
    </row>
    <row r="27" spans="1:17" s="59" customFormat="1">
      <c r="A27" s="122"/>
      <c r="B27" s="122"/>
      <c r="C27" s="122"/>
      <c r="D27"/>
      <c r="E27"/>
      <c r="H27" s="96"/>
      <c r="N27" s="18"/>
      <c r="O27" s="19"/>
      <c r="P27" s="19"/>
      <c r="Q27" s="20"/>
    </row>
    <row r="28" spans="1:17" s="59" customFormat="1">
      <c r="A28" s="122"/>
      <c r="B28" s="122"/>
      <c r="C28" s="122"/>
      <c r="D28"/>
      <c r="E28"/>
      <c r="H28" s="96"/>
      <c r="N28" s="27" t="s">
        <v>74</v>
      </c>
      <c r="O28" s="28"/>
      <c r="P28" s="28"/>
      <c r="Q28" s="29" t="s">
        <v>75</v>
      </c>
    </row>
    <row r="29" spans="1:17" s="59" customFormat="1">
      <c r="A29" s="122"/>
      <c r="B29" s="122"/>
      <c r="C29" s="122"/>
      <c r="D29"/>
      <c r="E29"/>
      <c r="F29" s="96"/>
      <c r="G29" s="96"/>
      <c r="H29" s="96"/>
    </row>
    <row r="30" spans="1:17" s="59" customFormat="1">
      <c r="A30" s="122"/>
      <c r="B30" s="122"/>
      <c r="C30" s="122"/>
      <c r="D30"/>
      <c r="E30"/>
      <c r="F30" s="96"/>
      <c r="G30" s="96"/>
      <c r="H30" s="96"/>
    </row>
    <row r="31" spans="1:17" s="59" customFormat="1">
      <c r="A31" s="96"/>
      <c r="B31" s="96"/>
      <c r="C31" s="96"/>
      <c r="D31" s="96"/>
      <c r="E31" s="96"/>
      <c r="F31" s="96"/>
      <c r="G31" s="96"/>
      <c r="H31" s="96"/>
    </row>
    <row r="32" spans="1:17" s="59" customFormat="1">
      <c r="A32" s="96"/>
      <c r="B32" s="96"/>
      <c r="C32" s="96"/>
      <c r="D32" s="96"/>
      <c r="E32" s="96"/>
      <c r="F32" s="96"/>
      <c r="G32" s="96"/>
      <c r="H32" s="96"/>
    </row>
    <row r="33" spans="1:19">
      <c r="B33" s="9"/>
      <c r="C33" s="9"/>
      <c r="D33" s="9"/>
      <c r="E33" s="9"/>
      <c r="F33" s="9"/>
      <c r="G33" s="9"/>
      <c r="H33" s="9"/>
    </row>
    <row r="34" spans="1:19">
      <c r="A34" t="s">
        <v>64</v>
      </c>
    </row>
    <row r="35" spans="1:19">
      <c r="B35" t="s">
        <v>66</v>
      </c>
      <c r="S35" s="57"/>
    </row>
    <row r="36" spans="1:19">
      <c r="B36" t="s">
        <v>67</v>
      </c>
    </row>
    <row r="39" spans="1:19">
      <c r="A39" t="s">
        <v>86</v>
      </c>
      <c r="E39" s="10"/>
      <c r="F39" s="10"/>
      <c r="R39" s="11"/>
    </row>
    <row r="40" spans="1:19">
      <c r="I40" s="9"/>
      <c r="J40" s="9"/>
    </row>
    <row r="73" spans="6:6">
      <c r="F73" s="46"/>
    </row>
    <row r="74" spans="6:6">
      <c r="F74" s="46"/>
    </row>
    <row r="75" spans="6:6">
      <c r="F75" s="46"/>
    </row>
    <row r="76" spans="6:6">
      <c r="F76" s="46"/>
    </row>
    <row r="77" spans="6:6">
      <c r="F77" s="54"/>
    </row>
    <row r="78" spans="6:6">
      <c r="F78" s="55"/>
    </row>
    <row r="79" spans="6:6">
      <c r="F79" s="56"/>
    </row>
    <row r="80" spans="6:6">
      <c r="F80" s="56"/>
    </row>
    <row r="81" spans="6:6">
      <c r="F81" s="56"/>
    </row>
    <row r="82" spans="6:6">
      <c r="F82" s="56"/>
    </row>
    <row r="83" spans="6:6">
      <c r="F83" s="56"/>
    </row>
  </sheetData>
  <phoneticPr fontId="11" type="noConversion"/>
  <hyperlinks>
    <hyperlink ref="B7" r:id="rId1" xr:uid="{E36EB398-F79C-4B27-A77C-E9309BF6876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5EB31-18AF-48D6-8E62-BFCEDF3E0ADC}">
  <sheetPr codeName="Sheet6">
    <pageSetUpPr fitToPage="1"/>
  </sheetPr>
  <dimension ref="A1:AB261"/>
  <sheetViews>
    <sheetView showGridLines="0" topLeftCell="A166" zoomScale="115" zoomScaleNormal="115" workbookViewId="0">
      <selection activeCell="L196" sqref="L196"/>
    </sheetView>
  </sheetViews>
  <sheetFormatPr defaultRowHeight="16.5"/>
  <cols>
    <col min="1" max="1" width="13.625" style="59" customWidth="1"/>
    <col min="2" max="2" width="14.625" customWidth="1"/>
    <col min="3" max="3" width="13.375" customWidth="1"/>
    <col min="4" max="4" width="11.375" customWidth="1"/>
    <col min="5" max="5" width="10.875" customWidth="1"/>
    <col min="6" max="6" width="11.25" customWidth="1"/>
    <col min="7" max="7" width="11.125" customWidth="1"/>
    <col min="8" max="8" width="10.625" customWidth="1"/>
    <col min="9" max="9" width="11.25" customWidth="1"/>
    <col min="10" max="10" width="10.25" customWidth="1"/>
    <col min="11" max="11" width="10.625" customWidth="1"/>
    <col min="12" max="13" width="10.875" customWidth="1"/>
    <col min="14" max="14" width="13.625" customWidth="1"/>
    <col min="15" max="15" width="11.75" customWidth="1"/>
    <col min="16" max="16" width="13.125" customWidth="1"/>
    <col min="17" max="17" width="12" customWidth="1"/>
    <col min="18" max="18" width="14.625" bestFit="1" customWidth="1"/>
  </cols>
  <sheetData>
    <row r="1" spans="1:6">
      <c r="B1" t="s">
        <v>150</v>
      </c>
    </row>
    <row r="2" spans="1:6">
      <c r="A2" s="215" t="s">
        <v>164</v>
      </c>
    </row>
    <row r="3" spans="1:6">
      <c r="B3" t="s">
        <v>161</v>
      </c>
    </row>
    <row r="4" spans="1:6" s="59" customFormat="1"/>
    <row r="5" spans="1:6">
      <c r="C5" t="s">
        <v>156</v>
      </c>
      <c r="D5" t="s">
        <v>111</v>
      </c>
      <c r="E5" t="s">
        <v>159</v>
      </c>
    </row>
    <row r="6" spans="1:6">
      <c r="C6" t="s">
        <v>157</v>
      </c>
      <c r="D6" t="s">
        <v>112</v>
      </c>
      <c r="E6" t="s">
        <v>160</v>
      </c>
    </row>
    <row r="8" spans="1:6">
      <c r="C8" t="s">
        <v>317</v>
      </c>
    </row>
    <row r="9" spans="1:6">
      <c r="C9" t="s">
        <v>278</v>
      </c>
    </row>
    <row r="12" spans="1:6">
      <c r="B12" t="s">
        <v>162</v>
      </c>
    </row>
    <row r="13" spans="1:6">
      <c r="C13" t="s">
        <v>316</v>
      </c>
    </row>
    <row r="15" spans="1:6">
      <c r="C15" t="s">
        <v>165</v>
      </c>
    </row>
    <row r="16" spans="1:6">
      <c r="C16" s="26" t="s">
        <v>318</v>
      </c>
      <c r="D16" s="16" t="s">
        <v>158</v>
      </c>
      <c r="E16" s="16"/>
      <c r="F16" s="17"/>
    </row>
    <row r="17" spans="2:9">
      <c r="C17" s="18" t="s">
        <v>151</v>
      </c>
      <c r="D17" s="59" t="s">
        <v>152</v>
      </c>
      <c r="E17" s="59" t="s">
        <v>153</v>
      </c>
      <c r="F17" s="20"/>
    </row>
    <row r="18" spans="2:9">
      <c r="C18" s="22" t="s">
        <v>154</v>
      </c>
      <c r="D18" s="23" t="s">
        <v>155</v>
      </c>
      <c r="E18" s="23"/>
      <c r="F18" s="25"/>
    </row>
    <row r="20" spans="2:9">
      <c r="C20" s="396" t="s">
        <v>111</v>
      </c>
      <c r="D20" s="26"/>
      <c r="E20" s="16" t="s">
        <v>168</v>
      </c>
      <c r="F20" s="17" t="s">
        <v>166</v>
      </c>
      <c r="G20" s="16"/>
      <c r="H20" s="16" t="s">
        <v>168</v>
      </c>
      <c r="I20" s="17" t="s">
        <v>166</v>
      </c>
    </row>
    <row r="21" spans="2:9">
      <c r="C21" s="397"/>
      <c r="D21" s="26" t="s">
        <v>163</v>
      </c>
      <c r="E21" s="16">
        <v>1</v>
      </c>
      <c r="F21" s="17" t="s">
        <v>167</v>
      </c>
      <c r="G21" s="16" t="s">
        <v>318</v>
      </c>
      <c r="H21" s="16">
        <v>10</v>
      </c>
      <c r="I21" s="17" t="s">
        <v>169</v>
      </c>
    </row>
    <row r="22" spans="2:9">
      <c r="C22" s="398"/>
      <c r="D22" s="22" t="s">
        <v>151</v>
      </c>
      <c r="E22" s="23">
        <v>10</v>
      </c>
      <c r="F22" s="25" t="s">
        <v>167</v>
      </c>
      <c r="G22" s="23" t="s">
        <v>318</v>
      </c>
      <c r="H22" s="23">
        <v>10</v>
      </c>
      <c r="I22" s="25" t="s">
        <v>169</v>
      </c>
    </row>
    <row r="24" spans="2:9">
      <c r="C24" s="396" t="s">
        <v>112</v>
      </c>
      <c r="D24" s="26"/>
      <c r="E24" s="16" t="s">
        <v>168</v>
      </c>
      <c r="F24" s="17" t="s">
        <v>166</v>
      </c>
      <c r="G24" s="16"/>
      <c r="H24" s="16" t="s">
        <v>168</v>
      </c>
      <c r="I24" s="17" t="s">
        <v>166</v>
      </c>
    </row>
    <row r="25" spans="2:9">
      <c r="C25" s="397"/>
      <c r="D25" s="26" t="s">
        <v>163</v>
      </c>
      <c r="E25" s="16">
        <v>1</v>
      </c>
      <c r="F25" s="17" t="s">
        <v>169</v>
      </c>
      <c r="G25" s="16" t="s">
        <v>318</v>
      </c>
      <c r="H25" s="16">
        <v>10</v>
      </c>
      <c r="I25" s="17" t="s">
        <v>167</v>
      </c>
    </row>
    <row r="26" spans="2:9">
      <c r="C26" s="398"/>
      <c r="D26" s="22" t="s">
        <v>151</v>
      </c>
      <c r="E26" s="23">
        <v>10</v>
      </c>
      <c r="F26" s="25" t="s">
        <v>169</v>
      </c>
      <c r="G26" s="23" t="s">
        <v>318</v>
      </c>
      <c r="H26" s="23">
        <v>10</v>
      </c>
      <c r="I26" s="25" t="s">
        <v>167</v>
      </c>
    </row>
    <row r="29" spans="2:9">
      <c r="B29" t="s">
        <v>170</v>
      </c>
    </row>
    <row r="32" spans="2:9">
      <c r="B32" t="s">
        <v>322</v>
      </c>
    </row>
    <row r="33" spans="2:12">
      <c r="C33" t="s">
        <v>323</v>
      </c>
      <c r="D33" t="s">
        <v>319</v>
      </c>
    </row>
    <row r="34" spans="2:12">
      <c r="D34" t="s">
        <v>320</v>
      </c>
    </row>
    <row r="36" spans="2:12" s="59" customFormat="1"/>
    <row r="37" spans="2:12" s="59" customFormat="1">
      <c r="C37" s="59" t="s">
        <v>324</v>
      </c>
      <c r="D37" s="59" t="s">
        <v>325</v>
      </c>
    </row>
    <row r="38" spans="2:12" s="59" customFormat="1"/>
    <row r="39" spans="2:12" s="59" customFormat="1"/>
    <row r="40" spans="2:12" s="59" customFormat="1">
      <c r="B40" s="59" t="s">
        <v>326</v>
      </c>
      <c r="C40" s="59" t="s">
        <v>498</v>
      </c>
    </row>
    <row r="41" spans="2:12" s="59" customFormat="1"/>
    <row r="44" spans="2:12">
      <c r="B44" s="211" t="s">
        <v>288</v>
      </c>
      <c r="C44" s="211"/>
      <c r="D44" s="211"/>
      <c r="E44" s="211"/>
      <c r="F44" s="211"/>
      <c r="G44" s="211"/>
      <c r="H44" s="211"/>
      <c r="I44" s="211"/>
      <c r="J44" s="211"/>
      <c r="K44" s="211"/>
    </row>
    <row r="45" spans="2:12">
      <c r="B45" s="211" t="s">
        <v>289</v>
      </c>
      <c r="C45" s="211"/>
      <c r="D45" s="250" t="s">
        <v>499</v>
      </c>
      <c r="E45" s="211"/>
      <c r="F45" s="211"/>
      <c r="G45" s="211"/>
      <c r="H45" s="211"/>
      <c r="I45" s="211"/>
      <c r="J45" s="211"/>
      <c r="K45" s="211"/>
    </row>
    <row r="46" spans="2:12" s="59" customFormat="1"/>
    <row r="47" spans="2:12" s="59" customFormat="1">
      <c r="B47" s="59" t="s">
        <v>327</v>
      </c>
    </row>
    <row r="48" spans="2:12" s="59" customFormat="1">
      <c r="B48" s="230" t="s">
        <v>442</v>
      </c>
      <c r="C48" s="241"/>
      <c r="D48" s="241"/>
      <c r="E48" s="241"/>
      <c r="F48" s="241"/>
      <c r="G48" s="241"/>
      <c r="H48" s="241"/>
      <c r="I48" s="241"/>
      <c r="J48" s="241"/>
      <c r="K48" s="241"/>
      <c r="L48" s="241"/>
    </row>
    <row r="49" spans="1:15" s="59" customFormat="1"/>
    <row r="50" spans="1:15" s="59" customFormat="1"/>
    <row r="51" spans="1:15" s="59" customFormat="1">
      <c r="A51" s="215" t="s">
        <v>301</v>
      </c>
    </row>
    <row r="52" spans="1:15" s="59" customFormat="1"/>
    <row r="53" spans="1:15" s="59" customFormat="1">
      <c r="B53" s="244" t="s">
        <v>461</v>
      </c>
      <c r="C53" s="244"/>
    </row>
    <row r="54" spans="1:15" s="59" customFormat="1"/>
    <row r="55" spans="1:15" s="59" customFormat="1">
      <c r="B55" s="59" t="s">
        <v>302</v>
      </c>
      <c r="E55" s="59" t="s">
        <v>303</v>
      </c>
      <c r="G55" s="59" t="s">
        <v>500</v>
      </c>
      <c r="I55" s="205" t="s">
        <v>474</v>
      </c>
      <c r="J55" s="209"/>
      <c r="K55" s="209"/>
      <c r="L55" s="209"/>
      <c r="M55" s="209"/>
      <c r="N55" s="209"/>
      <c r="O55" s="76"/>
    </row>
    <row r="56" spans="1:15" s="59" customFormat="1">
      <c r="B56" s="59" t="s">
        <v>468</v>
      </c>
    </row>
    <row r="57" spans="1:15" s="59" customFormat="1">
      <c r="B57" s="59" t="s">
        <v>353</v>
      </c>
    </row>
    <row r="58" spans="1:15" s="59" customFormat="1"/>
    <row r="59" spans="1:15" s="59" customFormat="1">
      <c r="B59" s="59" t="s">
        <v>462</v>
      </c>
    </row>
    <row r="60" spans="1:15" s="59" customFormat="1">
      <c r="B60" s="59" t="s">
        <v>463</v>
      </c>
    </row>
    <row r="61" spans="1:15" s="59" customFormat="1">
      <c r="B61" s="59" t="s">
        <v>464</v>
      </c>
      <c r="D61" s="59" t="s">
        <v>501</v>
      </c>
    </row>
    <row r="62" spans="1:15" s="59" customFormat="1">
      <c r="B62" s="59" t="s">
        <v>465</v>
      </c>
      <c r="E62" s="205" t="s">
        <v>502</v>
      </c>
      <c r="F62" s="76"/>
    </row>
    <row r="63" spans="1:15" s="59" customFormat="1">
      <c r="B63" s="59" t="s">
        <v>466</v>
      </c>
    </row>
    <row r="64" spans="1:15" s="59" customFormat="1">
      <c r="B64" s="59" t="s">
        <v>467</v>
      </c>
    </row>
    <row r="65" spans="2:15" s="59" customFormat="1">
      <c r="B65" s="59" t="s">
        <v>469</v>
      </c>
    </row>
    <row r="66" spans="2:15" s="59" customFormat="1">
      <c r="B66" s="26" t="s">
        <v>472</v>
      </c>
      <c r="C66" s="16"/>
      <c r="D66" s="17"/>
      <c r="E66" s="120" t="s">
        <v>503</v>
      </c>
    </row>
    <row r="67" spans="2:15" s="59" customFormat="1">
      <c r="B67" s="18"/>
      <c r="D67" s="20"/>
    </row>
    <row r="68" spans="2:15" s="59" customFormat="1">
      <c r="B68" s="22" t="s">
        <v>470</v>
      </c>
      <c r="C68" s="23"/>
      <c r="D68" s="25"/>
      <c r="E68" s="120" t="s">
        <v>503</v>
      </c>
    </row>
    <row r="69" spans="2:15" s="59" customFormat="1">
      <c r="B69" s="59" t="s">
        <v>471</v>
      </c>
    </row>
    <row r="70" spans="2:15" s="59" customFormat="1">
      <c r="B70" s="59" t="s">
        <v>473</v>
      </c>
    </row>
    <row r="71" spans="2:15" s="59" customFormat="1"/>
    <row r="72" spans="2:15" s="59" customFormat="1">
      <c r="B72" s="244" t="s">
        <v>504</v>
      </c>
      <c r="C72" s="244"/>
      <c r="D72" s="211"/>
    </row>
    <row r="73" spans="2:15" s="59" customFormat="1"/>
    <row r="74" spans="2:15" s="59" customFormat="1">
      <c r="B74" s="59" t="s">
        <v>475</v>
      </c>
    </row>
    <row r="75" spans="2:15" s="59" customFormat="1">
      <c r="B75" s="59" t="s">
        <v>476</v>
      </c>
    </row>
    <row r="76" spans="2:15" s="59" customFormat="1">
      <c r="B76" s="59" t="s">
        <v>506</v>
      </c>
    </row>
    <row r="77" spans="2:15" s="59" customFormat="1">
      <c r="B77" s="26" t="s">
        <v>505</v>
      </c>
      <c r="C77" s="16"/>
      <c r="D77" s="16"/>
      <c r="E77" s="16"/>
      <c r="F77" s="17"/>
      <c r="H77" s="59" t="s">
        <v>480</v>
      </c>
    </row>
    <row r="78" spans="2:15" s="59" customFormat="1">
      <c r="B78" s="18" t="s">
        <v>477</v>
      </c>
      <c r="D78" s="120" t="s">
        <v>478</v>
      </c>
      <c r="F78" s="20" t="s">
        <v>486</v>
      </c>
      <c r="H78" s="59" t="s">
        <v>507</v>
      </c>
    </row>
    <row r="79" spans="2:15" s="59" customFormat="1">
      <c r="B79" s="18" t="s">
        <v>479</v>
      </c>
      <c r="D79" s="59" t="s">
        <v>483</v>
      </c>
      <c r="F79" s="20"/>
      <c r="H79" s="59" t="s">
        <v>487</v>
      </c>
    </row>
    <row r="80" spans="2:15" s="59" customFormat="1">
      <c r="B80" s="18"/>
      <c r="D80" s="120">
        <v>10</v>
      </c>
      <c r="E80" s="59" t="s">
        <v>508</v>
      </c>
      <c r="F80" s="159">
        <v>0.5</v>
      </c>
      <c r="J80" s="59" t="s">
        <v>481</v>
      </c>
      <c r="O80" s="212" t="s">
        <v>482</v>
      </c>
    </row>
    <row r="81" spans="1:28" s="59" customFormat="1">
      <c r="B81" s="22"/>
      <c r="C81" s="23"/>
      <c r="D81" s="23"/>
      <c r="E81" s="23"/>
      <c r="F81" s="25"/>
      <c r="H81" s="213" t="s">
        <v>491</v>
      </c>
      <c r="I81" s="72" t="s">
        <v>490</v>
      </c>
      <c r="J81" s="245" t="s">
        <v>581</v>
      </c>
      <c r="K81" s="245"/>
      <c r="L81" s="245"/>
      <c r="M81" s="245"/>
      <c r="N81" s="245"/>
      <c r="O81" s="72" t="s">
        <v>485</v>
      </c>
      <c r="P81" s="246"/>
    </row>
    <row r="82" spans="1:28" s="59" customFormat="1">
      <c r="H82" s="247" t="s">
        <v>492</v>
      </c>
      <c r="I82" s="74" t="s">
        <v>489</v>
      </c>
      <c r="J82" s="248" t="s">
        <v>582</v>
      </c>
      <c r="K82" s="248"/>
      <c r="L82" s="248"/>
      <c r="M82" s="248"/>
      <c r="N82" s="248"/>
      <c r="O82" s="74" t="s">
        <v>484</v>
      </c>
      <c r="P82" s="249"/>
    </row>
    <row r="83" spans="1:28" s="59" customFormat="1"/>
    <row r="84" spans="1:28" s="59" customFormat="1">
      <c r="H84" s="59" t="s">
        <v>488</v>
      </c>
    </row>
    <row r="85" spans="1:28" s="59" customFormat="1">
      <c r="H85" s="59" t="s">
        <v>493</v>
      </c>
    </row>
    <row r="86" spans="1:28" s="59" customFormat="1"/>
    <row r="87" spans="1:28" s="59" customFormat="1"/>
    <row r="88" spans="1:28" s="59" customFormat="1"/>
    <row r="89" spans="1:28" s="59" customFormat="1"/>
    <row r="90" spans="1:28" s="59" customFormat="1"/>
    <row r="91" spans="1:28" s="59" customFormat="1">
      <c r="A91" s="215" t="s">
        <v>304</v>
      </c>
      <c r="B91" t="s">
        <v>171</v>
      </c>
      <c r="D91" s="205" t="s">
        <v>292</v>
      </c>
      <c r="E91" s="205" t="s">
        <v>293</v>
      </c>
      <c r="F91" s="76"/>
      <c r="G91" s="205" t="s">
        <v>352</v>
      </c>
      <c r="H91" s="209"/>
      <c r="I91" s="76"/>
      <c r="K91" s="26" t="s">
        <v>331</v>
      </c>
      <c r="L91" s="16"/>
      <c r="M91" s="16"/>
      <c r="N91" s="16"/>
      <c r="O91" s="17"/>
    </row>
    <row r="92" spans="1:28" s="59" customFormat="1">
      <c r="D92" s="213" t="s">
        <v>291</v>
      </c>
      <c r="E92" s="73" t="s">
        <v>378</v>
      </c>
      <c r="F92" s="17"/>
      <c r="G92" s="26" t="s">
        <v>350</v>
      </c>
      <c r="H92" s="16"/>
      <c r="I92" s="17"/>
      <c r="K92" s="18" t="s">
        <v>332</v>
      </c>
      <c r="O92" s="20"/>
    </row>
    <row r="93" spans="1:28" s="59" customFormat="1">
      <c r="D93" s="126" t="s">
        <v>285</v>
      </c>
      <c r="E93" s="126" t="s">
        <v>294</v>
      </c>
      <c r="F93" s="25"/>
      <c r="G93" s="22" t="s">
        <v>351</v>
      </c>
      <c r="H93" s="23"/>
      <c r="I93" s="25"/>
      <c r="K93" s="22" t="s">
        <v>284</v>
      </c>
      <c r="L93" s="23"/>
      <c r="M93" s="23"/>
      <c r="N93" s="23"/>
      <c r="O93" s="25"/>
    </row>
    <row r="94" spans="1:28">
      <c r="E94" s="59"/>
      <c r="F94" s="59"/>
      <c r="Q94" s="59"/>
      <c r="R94" s="59"/>
      <c r="S94" s="59"/>
      <c r="T94" s="59"/>
      <c r="U94" s="59"/>
      <c r="V94" s="59"/>
      <c r="W94" s="59"/>
      <c r="X94" s="59"/>
      <c r="Y94" s="59"/>
      <c r="Z94" s="59"/>
      <c r="AA94" s="59"/>
      <c r="AB94" s="59"/>
    </row>
    <row r="95" spans="1:28">
      <c r="B95" s="2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7"/>
    </row>
    <row r="96" spans="1:28" s="59" customFormat="1">
      <c r="B96" s="18"/>
      <c r="O96" s="20"/>
    </row>
    <row r="97" spans="1:28" s="59" customFormat="1">
      <c r="B97" s="227" t="s">
        <v>150</v>
      </c>
      <c r="D97" s="59" t="s">
        <v>354</v>
      </c>
      <c r="E97" s="120" t="s">
        <v>328</v>
      </c>
      <c r="O97" s="20"/>
    </row>
    <row r="98" spans="1:28" s="59" customFormat="1">
      <c r="B98" s="18"/>
      <c r="F98" s="161" t="s">
        <v>342</v>
      </c>
      <c r="G98" s="59" t="s">
        <v>356</v>
      </c>
      <c r="O98" s="20"/>
    </row>
    <row r="99" spans="1:28" s="59" customFormat="1">
      <c r="B99" s="18"/>
      <c r="F99" s="161" t="s">
        <v>343</v>
      </c>
      <c r="G99" s="59" t="s">
        <v>357</v>
      </c>
      <c r="O99" s="20"/>
    </row>
    <row r="100" spans="1:28" s="59" customFormat="1">
      <c r="B100" s="18"/>
      <c r="O100" s="20"/>
    </row>
    <row r="101" spans="1:28" s="59" customFormat="1">
      <c r="B101" s="18"/>
      <c r="O101" s="20"/>
    </row>
    <row r="102" spans="1:28" s="59" customFormat="1">
      <c r="B102" s="18"/>
      <c r="O102" s="20"/>
    </row>
    <row r="103" spans="1:28" s="59" customFormat="1">
      <c r="B103" s="18"/>
      <c r="O103" s="20"/>
    </row>
    <row r="104" spans="1:28" s="59" customFormat="1">
      <c r="B104" s="18"/>
      <c r="D104" s="59" t="s">
        <v>359</v>
      </c>
      <c r="E104" s="120" t="s">
        <v>329</v>
      </c>
      <c r="F104" s="161" t="s">
        <v>342</v>
      </c>
      <c r="G104" s="59" t="s">
        <v>360</v>
      </c>
      <c r="K104" s="161" t="s">
        <v>355</v>
      </c>
      <c r="L104" s="59" t="s">
        <v>358</v>
      </c>
      <c r="O104" s="20"/>
    </row>
    <row r="105" spans="1:28" s="59" customFormat="1">
      <c r="B105" s="18"/>
      <c r="F105" s="161" t="s">
        <v>343</v>
      </c>
      <c r="G105" s="59" t="s">
        <v>361</v>
      </c>
      <c r="O105" s="20"/>
    </row>
    <row r="106" spans="1:28" s="59" customFormat="1">
      <c r="B106" s="22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5"/>
    </row>
    <row r="107" spans="1:28" s="59" customFormat="1"/>
    <row r="109" spans="1:28">
      <c r="A109" s="208" t="s">
        <v>172</v>
      </c>
      <c r="B109" s="205" t="s">
        <v>328</v>
      </c>
      <c r="C109" s="209"/>
      <c r="D109" s="209"/>
      <c r="E109" s="209"/>
      <c r="F109" s="210"/>
      <c r="I109" t="s">
        <v>283</v>
      </c>
    </row>
    <row r="110" spans="1:28">
      <c r="A110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</row>
    <row r="111" spans="1:28">
      <c r="A111"/>
      <c r="B111" t="s">
        <v>379</v>
      </c>
    </row>
    <row r="112" spans="1:28">
      <c r="F112" s="57"/>
    </row>
    <row r="113" spans="1:20">
      <c r="L113" s="59"/>
    </row>
    <row r="114" spans="1:20" s="59" customFormat="1">
      <c r="A114" s="26"/>
      <c r="B114" s="16" t="s">
        <v>330</v>
      </c>
      <c r="C114" s="16"/>
      <c r="D114" s="16"/>
      <c r="E114" s="16"/>
      <c r="F114" s="16"/>
      <c r="G114" s="16"/>
      <c r="H114" s="16"/>
      <c r="I114" s="16" t="s">
        <v>510</v>
      </c>
      <c r="J114" s="16"/>
      <c r="K114" s="16"/>
      <c r="L114" s="16"/>
      <c r="M114" s="16"/>
      <c r="N114" s="17"/>
      <c r="O114"/>
      <c r="P114"/>
      <c r="Q114"/>
      <c r="R114"/>
    </row>
    <row r="115" spans="1:20" s="59" customFormat="1">
      <c r="A115" s="18"/>
      <c r="I115" s="59" t="s">
        <v>296</v>
      </c>
      <c r="J115" s="59" t="s">
        <v>380</v>
      </c>
      <c r="M115" s="207" t="s">
        <v>381</v>
      </c>
      <c r="N115" s="20"/>
      <c r="Q115" s="59" t="s">
        <v>509</v>
      </c>
    </row>
    <row r="116" spans="1:20" s="59" customFormat="1">
      <c r="A116" s="18"/>
      <c r="C116" s="121" t="s">
        <v>103</v>
      </c>
      <c r="E116" s="25"/>
      <c r="F116" s="401" t="s">
        <v>342</v>
      </c>
      <c r="I116" s="120"/>
      <c r="J116" s="121"/>
      <c r="K116" s="22"/>
      <c r="N116" s="20"/>
      <c r="P116" s="23"/>
      <c r="Q116" s="23" t="s">
        <v>279</v>
      </c>
      <c r="R116" s="23" t="s">
        <v>321</v>
      </c>
    </row>
    <row r="117" spans="1:20" s="59" customFormat="1">
      <c r="A117" s="18"/>
      <c r="C117" s="160" t="s">
        <v>174</v>
      </c>
      <c r="E117" s="120" t="s">
        <v>362</v>
      </c>
      <c r="F117" s="402"/>
      <c r="I117" s="238" t="s">
        <v>415</v>
      </c>
      <c r="J117" s="239">
        <v>0.33339120370370373</v>
      </c>
      <c r="K117" s="239">
        <v>0.3679398148148148</v>
      </c>
      <c r="N117" s="20"/>
      <c r="P117" s="120" t="s">
        <v>167</v>
      </c>
      <c r="Q117" s="120">
        <v>10</v>
      </c>
      <c r="R117" s="159">
        <v>0.01</v>
      </c>
    </row>
    <row r="118" spans="1:20" s="59" customFormat="1">
      <c r="A118" s="18"/>
      <c r="E118" s="401" t="s">
        <v>363</v>
      </c>
      <c r="F118" s="401" t="s">
        <v>364</v>
      </c>
      <c r="I118" s="70" t="s">
        <v>416</v>
      </c>
      <c r="J118" s="239">
        <v>0.65289351851851851</v>
      </c>
      <c r="K118" s="239">
        <v>0.83321759259259254</v>
      </c>
      <c r="N118" s="20"/>
      <c r="P118" s="120" t="s">
        <v>169</v>
      </c>
      <c r="Q118" s="120">
        <v>10</v>
      </c>
      <c r="R118" s="159">
        <v>-0.01</v>
      </c>
    </row>
    <row r="119" spans="1:20" s="59" customFormat="1">
      <c r="A119" s="18"/>
      <c r="E119" s="402"/>
      <c r="F119" s="402"/>
      <c r="N119" s="20"/>
      <c r="P119" s="242" t="s">
        <v>444</v>
      </c>
      <c r="Q119" s="243">
        <v>3000</v>
      </c>
    </row>
    <row r="120" spans="1:20" s="59" customFormat="1">
      <c r="A120" s="18"/>
      <c r="N120" s="20"/>
    </row>
    <row r="121" spans="1:20" s="59" customFormat="1">
      <c r="A121" s="18"/>
      <c r="N121" s="20"/>
    </row>
    <row r="122" spans="1:20" s="59" customFormat="1">
      <c r="A122" s="18"/>
      <c r="C122" s="59" t="s">
        <v>512</v>
      </c>
      <c r="N122" s="20"/>
      <c r="P122" s="59" t="s">
        <v>305</v>
      </c>
    </row>
    <row r="123" spans="1:20" s="59" customFormat="1">
      <c r="A123" s="18"/>
      <c r="N123" s="20"/>
      <c r="P123" s="26" t="s">
        <v>386</v>
      </c>
      <c r="Q123" s="16"/>
      <c r="R123" s="16" t="s">
        <v>387</v>
      </c>
      <c r="S123" s="16"/>
      <c r="T123" s="17"/>
    </row>
    <row r="124" spans="1:20" s="59" customFormat="1">
      <c r="B124" s="161" t="s">
        <v>383</v>
      </c>
      <c r="C124" s="205"/>
      <c r="D124" s="404" t="s">
        <v>395</v>
      </c>
      <c r="E124" s="405"/>
      <c r="F124" s="403" t="s">
        <v>405</v>
      </c>
      <c r="G124" s="403"/>
      <c r="I124" s="23"/>
      <c r="K124" s="120" t="s">
        <v>425</v>
      </c>
      <c r="L124" s="205"/>
      <c r="M124" s="120" t="s">
        <v>425</v>
      </c>
      <c r="N124" s="120"/>
      <c r="P124" s="22" t="s">
        <v>388</v>
      </c>
      <c r="Q124" s="23" t="s">
        <v>389</v>
      </c>
      <c r="R124" s="23" t="s">
        <v>390</v>
      </c>
      <c r="S124" s="23"/>
      <c r="T124" s="25"/>
    </row>
    <row r="125" spans="1:20" s="59" customFormat="1">
      <c r="B125" s="120" t="s">
        <v>392</v>
      </c>
      <c r="C125" s="59" t="s">
        <v>173</v>
      </c>
      <c r="D125" s="232" t="s">
        <v>385</v>
      </c>
      <c r="E125" s="351" t="s">
        <v>286</v>
      </c>
      <c r="F125" s="232" t="s">
        <v>384</v>
      </c>
      <c r="G125" s="233" t="s">
        <v>286</v>
      </c>
      <c r="H125" s="233" t="s">
        <v>381</v>
      </c>
      <c r="I125" s="22" t="s">
        <v>391</v>
      </c>
      <c r="J125" s="120" t="s">
        <v>394</v>
      </c>
      <c r="K125" s="26" t="s">
        <v>515</v>
      </c>
      <c r="L125" s="17"/>
      <c r="M125" s="26" t="s">
        <v>516</v>
      </c>
      <c r="N125" s="17"/>
    </row>
    <row r="126" spans="1:20" s="59" customFormat="1">
      <c r="A126" s="212" t="s">
        <v>280</v>
      </c>
      <c r="B126" s="207">
        <v>100</v>
      </c>
      <c r="C126" s="120"/>
      <c r="D126" s="158">
        <v>6.0000000000000001E-3</v>
      </c>
      <c r="E126" s="233" t="s">
        <v>175</v>
      </c>
      <c r="F126" s="158">
        <v>2E-3</v>
      </c>
      <c r="G126" s="233" t="s">
        <v>175</v>
      </c>
      <c r="H126" s="233" t="s">
        <v>175</v>
      </c>
      <c r="I126" s="205"/>
      <c r="J126" s="120"/>
      <c r="K126" s="206" t="s">
        <v>373</v>
      </c>
      <c r="L126" s="120"/>
      <c r="M126" s="206" t="s">
        <v>402</v>
      </c>
      <c r="N126" s="120"/>
      <c r="P126" s="231" t="s">
        <v>511</v>
      </c>
    </row>
    <row r="127" spans="1:20" s="59" customFormat="1">
      <c r="A127" s="212" t="s">
        <v>281</v>
      </c>
      <c r="B127" s="207">
        <v>100</v>
      </c>
      <c r="C127" s="120"/>
      <c r="D127" s="158">
        <v>8.0000000000000002E-3</v>
      </c>
      <c r="E127" s="233" t="s">
        <v>175</v>
      </c>
      <c r="F127" s="158">
        <v>3.0000000000000001E-3</v>
      </c>
      <c r="G127" s="233" t="s">
        <v>175</v>
      </c>
      <c r="H127" s="233" t="s">
        <v>175</v>
      </c>
      <c r="I127" s="205"/>
      <c r="J127" s="120"/>
      <c r="K127" s="206" t="s">
        <v>374</v>
      </c>
      <c r="L127" s="120"/>
      <c r="M127" s="206" t="s">
        <v>404</v>
      </c>
      <c r="N127" s="120"/>
    </row>
    <row r="128" spans="1:20" s="59" customFormat="1">
      <c r="A128" s="212" t="s">
        <v>282</v>
      </c>
      <c r="B128" s="207">
        <v>100</v>
      </c>
      <c r="C128" s="120"/>
      <c r="D128" s="158">
        <v>1.2E-2</v>
      </c>
      <c r="E128" s="233" t="s">
        <v>175</v>
      </c>
      <c r="F128" s="158">
        <v>4.0000000000000001E-3</v>
      </c>
      <c r="G128" s="233" t="s">
        <v>175</v>
      </c>
      <c r="H128" s="233" t="s">
        <v>175</v>
      </c>
      <c r="I128" s="205"/>
      <c r="J128" s="120"/>
      <c r="K128" s="206" t="s">
        <v>397</v>
      </c>
      <c r="L128" s="120"/>
      <c r="M128" s="206" t="s">
        <v>399</v>
      </c>
      <c r="N128" s="120"/>
    </row>
    <row r="129" spans="1:21" s="59" customFormat="1">
      <c r="I129" s="216" t="s">
        <v>513</v>
      </c>
      <c r="P129" s="26" t="s">
        <v>407</v>
      </c>
      <c r="Q129" s="16"/>
      <c r="R129" s="16"/>
      <c r="S129" s="16"/>
      <c r="T129" s="16"/>
      <c r="U129" s="17"/>
    </row>
    <row r="130" spans="1:21" s="59" customFormat="1">
      <c r="B130" s="161" t="s">
        <v>382</v>
      </c>
      <c r="C130" s="205"/>
      <c r="D130" s="404" t="s">
        <v>395</v>
      </c>
      <c r="E130" s="405"/>
      <c r="F130" s="403" t="s">
        <v>405</v>
      </c>
      <c r="G130" s="403"/>
      <c r="I130" s="23"/>
      <c r="K130" s="120" t="s">
        <v>425</v>
      </c>
      <c r="L130" s="120" t="s">
        <v>406</v>
      </c>
      <c r="M130" s="120" t="s">
        <v>425</v>
      </c>
      <c r="N130" s="120" t="s">
        <v>406</v>
      </c>
      <c r="P130" s="22" t="s">
        <v>408</v>
      </c>
      <c r="Q130" s="23"/>
      <c r="R130" s="23"/>
      <c r="S130" s="23"/>
      <c r="T130" s="23"/>
      <c r="U130" s="25"/>
    </row>
    <row r="131" spans="1:21" s="59" customFormat="1">
      <c r="B131" s="120" t="s">
        <v>392</v>
      </c>
      <c r="C131" s="59" t="s">
        <v>173</v>
      </c>
      <c r="D131" s="232" t="s">
        <v>393</v>
      </c>
      <c r="E131" s="351" t="s">
        <v>286</v>
      </c>
      <c r="F131" s="232" t="s">
        <v>409</v>
      </c>
      <c r="G131" s="233" t="s">
        <v>286</v>
      </c>
      <c r="H131" s="233" t="s">
        <v>381</v>
      </c>
      <c r="I131" s="22" t="s">
        <v>391</v>
      </c>
      <c r="J131" s="120" t="s">
        <v>394</v>
      </c>
      <c r="K131" s="26" t="s">
        <v>515</v>
      </c>
      <c r="L131" s="17"/>
      <c r="M131" s="26" t="s">
        <v>516</v>
      </c>
      <c r="N131" s="17"/>
    </row>
    <row r="132" spans="1:21" s="59" customFormat="1">
      <c r="A132" s="212" t="s">
        <v>280</v>
      </c>
      <c r="B132" s="207">
        <v>100</v>
      </c>
      <c r="C132" s="120"/>
      <c r="D132" s="158">
        <v>-6.0000000000000001E-3</v>
      </c>
      <c r="E132" s="233" t="s">
        <v>175</v>
      </c>
      <c r="F132" s="158">
        <v>-2E-3</v>
      </c>
      <c r="G132" s="233" t="s">
        <v>175</v>
      </c>
      <c r="H132" s="233" t="s">
        <v>175</v>
      </c>
      <c r="I132" s="205"/>
      <c r="J132" s="120"/>
      <c r="K132" s="206" t="s">
        <v>402</v>
      </c>
      <c r="L132" s="120"/>
      <c r="M132" s="206" t="s">
        <v>400</v>
      </c>
      <c r="N132" s="120"/>
    </row>
    <row r="133" spans="1:21" s="59" customFormat="1">
      <c r="A133" s="212" t="s">
        <v>281</v>
      </c>
      <c r="B133" s="207">
        <v>100</v>
      </c>
      <c r="C133" s="120"/>
      <c r="D133" s="158">
        <v>-8.0000000000000002E-3</v>
      </c>
      <c r="E133" s="233" t="s">
        <v>175</v>
      </c>
      <c r="F133" s="158">
        <v>-2E-3</v>
      </c>
      <c r="G133" s="233" t="s">
        <v>175</v>
      </c>
      <c r="H133" s="233" t="s">
        <v>175</v>
      </c>
      <c r="I133" s="205"/>
      <c r="J133" s="120"/>
      <c r="K133" s="206" t="s">
        <v>403</v>
      </c>
      <c r="L133" s="120"/>
      <c r="M133" s="206" t="s">
        <v>401</v>
      </c>
      <c r="N133" s="120"/>
    </row>
    <row r="134" spans="1:21" s="59" customFormat="1">
      <c r="A134" s="212" t="s">
        <v>282</v>
      </c>
      <c r="B134" s="207">
        <v>100</v>
      </c>
      <c r="C134" s="120"/>
      <c r="D134" s="158">
        <v>-1.2E-2</v>
      </c>
      <c r="E134" s="233" t="s">
        <v>175</v>
      </c>
      <c r="F134" s="158">
        <v>-4.0000000000000001E-3</v>
      </c>
      <c r="G134" s="233" t="s">
        <v>175</v>
      </c>
      <c r="H134" s="233" t="s">
        <v>175</v>
      </c>
      <c r="I134" s="205"/>
      <c r="J134" s="120"/>
      <c r="K134" s="206" t="s">
        <v>398</v>
      </c>
      <c r="L134" s="120"/>
      <c r="M134" s="206" t="s">
        <v>396</v>
      </c>
      <c r="N134" s="120"/>
    </row>
    <row r="135" spans="1:21" s="59" customFormat="1">
      <c r="A135" s="212"/>
      <c r="B135" s="216" t="s">
        <v>514</v>
      </c>
      <c r="I135" s="216" t="s">
        <v>513</v>
      </c>
      <c r="N135" s="20"/>
    </row>
    <row r="136" spans="1:21" s="59" customFormat="1">
      <c r="A136" s="22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5"/>
    </row>
    <row r="137" spans="1:21" s="59" customFormat="1"/>
    <row r="138" spans="1:21" s="59" customFormat="1">
      <c r="B138" s="219" t="s">
        <v>333</v>
      </c>
      <c r="C138" s="220"/>
      <c r="D138" s="220"/>
      <c r="E138" s="220"/>
      <c r="F138" s="220"/>
      <c r="G138" s="220"/>
      <c r="H138" s="16"/>
      <c r="I138" s="16"/>
      <c r="J138" s="16"/>
      <c r="K138" s="16"/>
      <c r="L138" s="16"/>
      <c r="M138" s="17"/>
      <c r="N138"/>
    </row>
    <row r="139" spans="1:21" s="59" customFormat="1">
      <c r="B139" s="18" t="s">
        <v>412</v>
      </c>
      <c r="M139" s="20"/>
    </row>
    <row r="140" spans="1:21" s="59" customFormat="1">
      <c r="B140" s="214" t="s">
        <v>334</v>
      </c>
      <c r="C140" s="211"/>
      <c r="D140" s="211"/>
      <c r="E140" s="211"/>
      <c r="F140" s="211"/>
      <c r="G140" s="211"/>
      <c r="H140" s="211"/>
      <c r="I140" s="211"/>
      <c r="J140" s="211"/>
      <c r="K140" s="211"/>
      <c r="M140" s="20"/>
    </row>
    <row r="141" spans="1:21" s="59" customFormat="1">
      <c r="B141" s="18" t="s">
        <v>413</v>
      </c>
      <c r="G141" s="234" t="s">
        <v>410</v>
      </c>
      <c r="H141" s="234"/>
      <c r="I141" s="234"/>
      <c r="J141" s="234"/>
      <c r="K141" s="234"/>
      <c r="L141" s="234"/>
      <c r="M141" s="235"/>
    </row>
    <row r="142" spans="1:21" s="59" customFormat="1">
      <c r="B142" s="22" t="s">
        <v>414</v>
      </c>
      <c r="C142" s="23"/>
      <c r="D142" s="23"/>
      <c r="E142" s="23"/>
      <c r="F142" s="23"/>
      <c r="G142" s="236" t="s">
        <v>411</v>
      </c>
      <c r="H142" s="236"/>
      <c r="I142" s="236"/>
      <c r="J142" s="236"/>
      <c r="K142" s="236"/>
      <c r="L142" s="236"/>
      <c r="M142" s="237"/>
    </row>
    <row r="143" spans="1:21" s="59" customFormat="1"/>
    <row r="144" spans="1:21" s="59" customFormat="1" ht="17.25" thickBot="1"/>
    <row r="145" spans="1:14" s="59" customFormat="1" ht="18" thickTop="1" thickBot="1">
      <c r="B145" s="221" t="s">
        <v>335</v>
      </c>
      <c r="C145" s="222"/>
      <c r="D145" s="222"/>
      <c r="E145" s="222"/>
      <c r="F145" s="222"/>
      <c r="G145" s="222"/>
      <c r="H145" s="222"/>
      <c r="I145" s="222"/>
      <c r="J145" s="222"/>
      <c r="K145" s="222"/>
      <c r="L145" s="222"/>
      <c r="M145" s="223"/>
    </row>
    <row r="146" spans="1:14" s="59" customFormat="1" ht="17.25" thickTop="1"/>
    <row r="147" spans="1:14" s="59" customFormat="1">
      <c r="B147" s="59" t="s">
        <v>295</v>
      </c>
    </row>
    <row r="148" spans="1:14" s="59" customFormat="1">
      <c r="B148" s="59" t="s">
        <v>336</v>
      </c>
    </row>
    <row r="149" spans="1:14" s="59" customFormat="1">
      <c r="B149" s="59" t="s">
        <v>339</v>
      </c>
      <c r="N149"/>
    </row>
    <row r="150" spans="1:14" s="59" customFormat="1">
      <c r="B150" s="59" t="s">
        <v>340</v>
      </c>
      <c r="N150"/>
    </row>
    <row r="151" spans="1:14" s="59" customFormat="1">
      <c r="B151" s="59" t="s">
        <v>417</v>
      </c>
    </row>
    <row r="152" spans="1:14" s="59" customFormat="1">
      <c r="B152" s="59" t="s">
        <v>517</v>
      </c>
    </row>
    <row r="153" spans="1:14" s="59" customFormat="1"/>
    <row r="154" spans="1:14" s="59" customFormat="1">
      <c r="B154" s="59" t="s">
        <v>297</v>
      </c>
    </row>
    <row r="155" spans="1:14" s="59" customFormat="1">
      <c r="C155" s="59" t="s">
        <v>337</v>
      </c>
    </row>
    <row r="156" spans="1:14" s="59" customFormat="1">
      <c r="C156" s="59" t="s">
        <v>299</v>
      </c>
      <c r="D156" s="59" t="s">
        <v>298</v>
      </c>
    </row>
    <row r="157" spans="1:14" s="59" customFormat="1">
      <c r="C157" s="59" t="s">
        <v>300</v>
      </c>
      <c r="E157" s="59" t="s">
        <v>338</v>
      </c>
    </row>
    <row r="158" spans="1:14" s="59" customFormat="1">
      <c r="C158" s="59" t="s">
        <v>518</v>
      </c>
    </row>
    <row r="159" spans="1:14" s="59" customFormat="1"/>
    <row r="160" spans="1:14" s="59" customFormat="1">
      <c r="A160" s="208" t="s">
        <v>285</v>
      </c>
      <c r="B160" s="205" t="s">
        <v>310</v>
      </c>
      <c r="C160" s="209"/>
      <c r="D160" s="209"/>
      <c r="E160" s="209" t="s">
        <v>427</v>
      </c>
      <c r="F160" s="210"/>
      <c r="H160" s="59" t="s">
        <v>341</v>
      </c>
    </row>
    <row r="161" spans="1:21" s="59" customFormat="1"/>
    <row r="162" spans="1:21" s="59" customFormat="1">
      <c r="B162" s="120" t="s">
        <v>381</v>
      </c>
      <c r="D162" s="59" t="s">
        <v>519</v>
      </c>
    </row>
    <row r="163" spans="1:21" s="59" customFormat="1">
      <c r="D163" s="212" t="s">
        <v>344</v>
      </c>
      <c r="E163" s="224" t="s">
        <v>347</v>
      </c>
      <c r="F163" s="225" t="s">
        <v>76</v>
      </c>
      <c r="G163" s="59" t="s">
        <v>367</v>
      </c>
      <c r="J163" s="59" t="s">
        <v>287</v>
      </c>
    </row>
    <row r="164" spans="1:21" s="59" customFormat="1">
      <c r="C164" s="59" t="s">
        <v>345</v>
      </c>
      <c r="D164" s="120">
        <v>3000</v>
      </c>
      <c r="E164" s="226">
        <f>ROUNDDOWN(F164/D164,0)*D164</f>
        <v>1575000</v>
      </c>
      <c r="F164" s="226">
        <v>1575000</v>
      </c>
      <c r="G164" s="120" t="s">
        <v>366</v>
      </c>
      <c r="J164" s="158">
        <v>4.0000000000000001E-3</v>
      </c>
    </row>
    <row r="165" spans="1:21" s="59" customFormat="1">
      <c r="C165" s="59" t="s">
        <v>271</v>
      </c>
      <c r="D165" s="120">
        <v>500</v>
      </c>
      <c r="E165" s="226">
        <f>ROUNDDOWN(F165/D165,0)*D165</f>
        <v>250500</v>
      </c>
      <c r="F165" s="226">
        <v>250500</v>
      </c>
      <c r="G165" s="120" t="s">
        <v>366</v>
      </c>
      <c r="J165" s="59" t="s">
        <v>178</v>
      </c>
      <c r="K165" s="120"/>
      <c r="L165" s="59" t="s">
        <v>418</v>
      </c>
    </row>
    <row r="166" spans="1:21" s="59" customFormat="1">
      <c r="C166" s="59" t="s">
        <v>346</v>
      </c>
      <c r="D166" s="120">
        <v>1000</v>
      </c>
      <c r="E166" s="226">
        <f>ROUNDDOWN(F166/D166,0)*D166</f>
        <v>355000</v>
      </c>
      <c r="F166" s="226">
        <v>355500</v>
      </c>
      <c r="G166" s="120" t="s">
        <v>366</v>
      </c>
      <c r="L166" s="59" t="s">
        <v>419</v>
      </c>
    </row>
    <row r="167" spans="1:21" s="59" customFormat="1"/>
    <row r="168" spans="1:21" s="59" customFormat="1">
      <c r="D168" s="59" t="s">
        <v>348</v>
      </c>
    </row>
    <row r="169" spans="1:21" s="59" customFormat="1"/>
    <row r="170" spans="1:21" s="59" customFormat="1"/>
    <row r="171" spans="1:21">
      <c r="A171" s="26"/>
      <c r="B171" s="16"/>
      <c r="C171" s="16"/>
      <c r="D171" s="16"/>
      <c r="E171" s="16" t="s">
        <v>520</v>
      </c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8"/>
      <c r="Q171" s="59"/>
      <c r="R171" s="59"/>
      <c r="S171" s="59"/>
      <c r="T171" s="59"/>
      <c r="U171" s="59"/>
    </row>
    <row r="172" spans="1:21">
      <c r="A172" s="18"/>
      <c r="B172" s="59"/>
      <c r="C172" s="121" t="s">
        <v>103</v>
      </c>
      <c r="E172" s="399" t="s">
        <v>111</v>
      </c>
      <c r="F172" s="22" t="s">
        <v>362</v>
      </c>
      <c r="H172" s="59"/>
      <c r="K172" s="59" t="s">
        <v>380</v>
      </c>
      <c r="N172" s="207" t="s">
        <v>381</v>
      </c>
      <c r="P172" s="18"/>
      <c r="Q172" s="23"/>
      <c r="R172" s="23" t="s">
        <v>279</v>
      </c>
      <c r="S172" s="23" t="s">
        <v>321</v>
      </c>
      <c r="T172" s="59"/>
      <c r="U172" s="59"/>
    </row>
    <row r="173" spans="1:21">
      <c r="A173" s="18"/>
      <c r="B173" s="59"/>
      <c r="C173" s="160" t="s">
        <v>174</v>
      </c>
      <c r="E173" s="400"/>
      <c r="F173" s="207"/>
      <c r="K173" s="121"/>
      <c r="P173" s="18"/>
      <c r="Q173" s="120" t="s">
        <v>167</v>
      </c>
      <c r="R173" s="120">
        <v>10</v>
      </c>
      <c r="S173" s="159">
        <v>0.01</v>
      </c>
      <c r="T173" s="59"/>
      <c r="U173" s="59"/>
    </row>
    <row r="174" spans="1:21">
      <c r="A174" s="18"/>
      <c r="B174" s="59"/>
      <c r="C174" s="59"/>
      <c r="D174" s="59"/>
      <c r="E174" s="399" t="s">
        <v>112</v>
      </c>
      <c r="F174" t="s">
        <v>330</v>
      </c>
      <c r="I174" s="212"/>
      <c r="J174" s="238" t="s">
        <v>415</v>
      </c>
      <c r="K174" s="239">
        <v>0.33339120370370373</v>
      </c>
      <c r="L174" s="239">
        <v>0.3679398148148148</v>
      </c>
      <c r="P174" s="18"/>
      <c r="Q174" s="120" t="s">
        <v>169</v>
      </c>
      <c r="R174" s="120">
        <v>10</v>
      </c>
      <c r="S174" s="159">
        <v>-0.01</v>
      </c>
      <c r="T174" s="59"/>
      <c r="U174" s="59"/>
    </row>
    <row r="175" spans="1:21">
      <c r="A175" s="18"/>
      <c r="B175" s="59"/>
      <c r="C175" s="59"/>
      <c r="D175" s="59"/>
      <c r="E175" s="400"/>
      <c r="F175" s="207"/>
      <c r="J175" s="70" t="s">
        <v>416</v>
      </c>
      <c r="K175" s="239">
        <v>0.65289351851851851</v>
      </c>
      <c r="L175" s="239">
        <v>0.83321759259259254</v>
      </c>
      <c r="M175" s="59"/>
      <c r="N175" s="59"/>
      <c r="O175" s="59"/>
      <c r="P175" s="18"/>
      <c r="Q175" s="242" t="s">
        <v>444</v>
      </c>
      <c r="R175" s="243">
        <v>3000</v>
      </c>
      <c r="S175" s="59"/>
      <c r="T175" s="59"/>
      <c r="U175" s="59"/>
    </row>
    <row r="176" spans="1:21">
      <c r="A176" s="18"/>
      <c r="B176" s="59"/>
      <c r="C176" s="59"/>
      <c r="D176" s="59"/>
      <c r="K176" s="59"/>
      <c r="L176" s="59"/>
      <c r="M176" s="59"/>
      <c r="N176" s="59"/>
      <c r="O176" s="59"/>
      <c r="P176" s="18"/>
      <c r="S176" s="59"/>
      <c r="T176" s="59"/>
      <c r="U176" s="59"/>
    </row>
    <row r="177" spans="1:21">
      <c r="A177" s="18"/>
      <c r="B177" s="59"/>
      <c r="C177" s="59"/>
      <c r="D177" s="59"/>
      <c r="E177" s="59"/>
      <c r="F177" s="59"/>
      <c r="G177" s="59"/>
      <c r="H177" s="59"/>
      <c r="I177" s="59"/>
      <c r="J177" s="59"/>
      <c r="K177" s="59"/>
      <c r="L177" s="59"/>
      <c r="M177" s="59"/>
      <c r="N177" s="59"/>
      <c r="O177" s="59"/>
      <c r="P177" s="18"/>
      <c r="Q177" s="59"/>
      <c r="R177" s="59"/>
      <c r="S177" s="59"/>
      <c r="T177" s="59"/>
      <c r="U177" s="59"/>
    </row>
    <row r="178" spans="1:21">
      <c r="B178" s="161" t="s">
        <v>383</v>
      </c>
      <c r="C178" s="59"/>
      <c r="D178" s="395" t="s">
        <v>395</v>
      </c>
      <c r="E178" s="395"/>
      <c r="F178" s="395"/>
      <c r="G178" s="395" t="s">
        <v>405</v>
      </c>
      <c r="H178" s="395"/>
      <c r="J178" s="23"/>
      <c r="K178" s="59"/>
      <c r="L178" s="120" t="s">
        <v>425</v>
      </c>
      <c r="M178" s="120"/>
      <c r="N178" s="120" t="s">
        <v>425</v>
      </c>
      <c r="O178" s="120"/>
      <c r="P178" s="18"/>
      <c r="Q178" s="59"/>
      <c r="R178" s="59"/>
      <c r="S178" s="59"/>
      <c r="T178" s="59"/>
      <c r="U178" s="59"/>
    </row>
    <row r="179" spans="1:21">
      <c r="B179" s="120" t="s">
        <v>392</v>
      </c>
      <c r="C179" s="120" t="s">
        <v>173</v>
      </c>
      <c r="D179" s="206" t="s">
        <v>421</v>
      </c>
      <c r="E179" s="229" t="s">
        <v>369</v>
      </c>
      <c r="F179" s="233" t="s">
        <v>286</v>
      </c>
      <c r="G179" s="232" t="s">
        <v>422</v>
      </c>
      <c r="H179" s="233" t="s">
        <v>286</v>
      </c>
      <c r="I179" s="233" t="s">
        <v>381</v>
      </c>
      <c r="J179" s="22" t="s">
        <v>391</v>
      </c>
      <c r="K179" s="120" t="s">
        <v>394</v>
      </c>
      <c r="L179" s="26" t="s">
        <v>521</v>
      </c>
      <c r="M179" s="17"/>
      <c r="N179" s="26" t="s">
        <v>522</v>
      </c>
      <c r="O179" s="17"/>
      <c r="P179" s="18"/>
      <c r="Q179" s="59"/>
      <c r="R179" s="59"/>
      <c r="S179" s="59"/>
      <c r="T179" s="59"/>
      <c r="U179" s="59"/>
    </row>
    <row r="180" spans="1:21">
      <c r="A180" s="212" t="s">
        <v>280</v>
      </c>
      <c r="B180" s="207">
        <v>10</v>
      </c>
      <c r="C180" s="120"/>
      <c r="D180" s="158">
        <v>6.0000000000000001E-3</v>
      </c>
      <c r="E180" s="158">
        <v>4.0000000000000001E-3</v>
      </c>
      <c r="F180" s="233" t="s">
        <v>175</v>
      </c>
      <c r="G180" s="158">
        <v>2E-3</v>
      </c>
      <c r="H180" s="233" t="s">
        <v>175</v>
      </c>
      <c r="I180" s="233" t="s">
        <v>175</v>
      </c>
      <c r="J180" s="205"/>
      <c r="K180" s="120"/>
      <c r="L180" s="206" t="s">
        <v>373</v>
      </c>
      <c r="M180" s="120"/>
      <c r="N180" s="206" t="s">
        <v>402</v>
      </c>
      <c r="O180" s="120"/>
      <c r="P180" s="18"/>
      <c r="Q180" s="59"/>
      <c r="R180" s="59"/>
      <c r="S180" s="59"/>
      <c r="T180" s="59"/>
      <c r="U180" s="59"/>
    </row>
    <row r="181" spans="1:21">
      <c r="A181" s="212" t="s">
        <v>281</v>
      </c>
      <c r="B181" s="207">
        <v>10</v>
      </c>
      <c r="C181" s="120"/>
      <c r="D181" s="158">
        <v>8.0000000000000002E-3</v>
      </c>
      <c r="E181" s="158">
        <v>5.0000000000000001E-3</v>
      </c>
      <c r="F181" s="233" t="s">
        <v>175</v>
      </c>
      <c r="G181" s="158">
        <v>3.0000000000000001E-3</v>
      </c>
      <c r="H181" s="233" t="s">
        <v>175</v>
      </c>
      <c r="I181" s="233" t="s">
        <v>175</v>
      </c>
      <c r="J181" s="205"/>
      <c r="K181" s="120"/>
      <c r="L181" s="206" t="s">
        <v>423</v>
      </c>
      <c r="M181" s="120"/>
      <c r="N181" s="206" t="s">
        <v>424</v>
      </c>
      <c r="O181" s="120"/>
      <c r="P181" s="18"/>
      <c r="Q181" s="59"/>
      <c r="R181" s="59"/>
      <c r="S181" s="59"/>
      <c r="T181" s="59"/>
      <c r="U181" s="59"/>
    </row>
    <row r="182" spans="1:21" s="59" customFormat="1">
      <c r="A182" s="212" t="s">
        <v>282</v>
      </c>
      <c r="B182" s="207">
        <v>10</v>
      </c>
      <c r="C182" s="120"/>
      <c r="D182" s="158">
        <v>1.2E-2</v>
      </c>
      <c r="E182" s="158">
        <v>5.4999999999999997E-3</v>
      </c>
      <c r="F182" s="233" t="s">
        <v>175</v>
      </c>
      <c r="G182" s="158">
        <v>4.0000000000000001E-3</v>
      </c>
      <c r="H182" s="233" t="s">
        <v>175</v>
      </c>
      <c r="I182" s="233" t="s">
        <v>175</v>
      </c>
      <c r="J182" s="205"/>
      <c r="K182" s="120"/>
      <c r="L182" s="206" t="s">
        <v>397</v>
      </c>
      <c r="M182" s="120"/>
      <c r="N182" s="206" t="s">
        <v>399</v>
      </c>
      <c r="O182" s="120"/>
      <c r="P182" s="18"/>
    </row>
    <row r="183" spans="1:21" s="59" customFormat="1">
      <c r="P183" s="18"/>
    </row>
    <row r="184" spans="1:21">
      <c r="B184" s="59"/>
      <c r="E184" s="59"/>
      <c r="F184" s="59"/>
      <c r="G184" s="59"/>
      <c r="H184" s="59"/>
      <c r="L184" s="240"/>
      <c r="P184" s="18"/>
      <c r="Q184" s="59"/>
      <c r="R184" s="59"/>
      <c r="S184" s="59"/>
      <c r="T184" s="59"/>
      <c r="U184" s="59"/>
    </row>
    <row r="185" spans="1:21" s="59" customFormat="1">
      <c r="B185" s="161" t="s">
        <v>382</v>
      </c>
      <c r="D185" s="395" t="s">
        <v>395</v>
      </c>
      <c r="E185" s="395"/>
      <c r="F185" s="395"/>
      <c r="G185" s="395" t="s">
        <v>405</v>
      </c>
      <c r="H185" s="395"/>
      <c r="J185" s="23"/>
      <c r="L185" s="120" t="s">
        <v>425</v>
      </c>
      <c r="M185" s="120"/>
      <c r="N185" s="120" t="s">
        <v>425</v>
      </c>
      <c r="O185" s="120"/>
      <c r="P185" s="18"/>
    </row>
    <row r="186" spans="1:21" s="59" customFormat="1">
      <c r="B186" s="120" t="s">
        <v>392</v>
      </c>
      <c r="C186" s="120" t="s">
        <v>173</v>
      </c>
      <c r="D186" s="232" t="s">
        <v>426</v>
      </c>
      <c r="E186" s="229" t="s">
        <v>370</v>
      </c>
      <c r="F186" s="233" t="s">
        <v>286</v>
      </c>
      <c r="G186" s="206" t="s">
        <v>421</v>
      </c>
      <c r="H186" s="233" t="s">
        <v>286</v>
      </c>
      <c r="I186" s="233" t="s">
        <v>381</v>
      </c>
      <c r="J186" s="22" t="s">
        <v>391</v>
      </c>
      <c r="K186" s="120" t="s">
        <v>394</v>
      </c>
      <c r="L186" s="26" t="s">
        <v>521</v>
      </c>
      <c r="M186" s="17"/>
      <c r="N186" s="26" t="s">
        <v>522</v>
      </c>
      <c r="O186" s="17"/>
      <c r="P186" s="18"/>
    </row>
    <row r="187" spans="1:21" s="59" customFormat="1">
      <c r="A187" s="212" t="s">
        <v>280</v>
      </c>
      <c r="B187" s="207">
        <v>10</v>
      </c>
      <c r="C187" s="120"/>
      <c r="D187" s="158">
        <v>-6.0000000000000001E-3</v>
      </c>
      <c r="E187" s="158">
        <v>-4.0000000000000001E-3</v>
      </c>
      <c r="F187" s="233" t="s">
        <v>175</v>
      </c>
      <c r="G187" s="158">
        <v>1E-3</v>
      </c>
      <c r="H187" s="233" t="s">
        <v>175</v>
      </c>
      <c r="I187" s="233" t="s">
        <v>175</v>
      </c>
      <c r="J187" s="205"/>
      <c r="K187" s="120"/>
      <c r="L187" s="206" t="s">
        <v>402</v>
      </c>
      <c r="M187" s="120"/>
      <c r="N187" s="206" t="s">
        <v>373</v>
      </c>
      <c r="O187" s="120"/>
      <c r="P187" s="18"/>
    </row>
    <row r="188" spans="1:21" s="59" customFormat="1">
      <c r="A188" s="212" t="s">
        <v>281</v>
      </c>
      <c r="B188" s="207">
        <v>10</v>
      </c>
      <c r="C188" s="120"/>
      <c r="D188" s="158">
        <v>-8.0000000000000002E-3</v>
      </c>
      <c r="E188" s="158">
        <v>-4.0000000000000001E-3</v>
      </c>
      <c r="F188" s="233" t="s">
        <v>175</v>
      </c>
      <c r="G188" s="158">
        <v>-1.5E-3</v>
      </c>
      <c r="H188" s="233" t="s">
        <v>175</v>
      </c>
      <c r="I188" s="233" t="s">
        <v>175</v>
      </c>
      <c r="J188" s="205"/>
      <c r="K188" s="120"/>
      <c r="L188" s="206" t="s">
        <v>424</v>
      </c>
      <c r="M188" s="120"/>
      <c r="N188" s="206" t="s">
        <v>423</v>
      </c>
      <c r="O188" s="120"/>
      <c r="P188" s="18"/>
    </row>
    <row r="189" spans="1:21" s="59" customFormat="1">
      <c r="A189" s="212" t="s">
        <v>282</v>
      </c>
      <c r="B189" s="207">
        <v>10</v>
      </c>
      <c r="C189" s="120"/>
      <c r="D189" s="158">
        <v>-1.2E-2</v>
      </c>
      <c r="E189" s="158">
        <v>-4.0000000000000001E-3</v>
      </c>
      <c r="F189" s="233" t="s">
        <v>175</v>
      </c>
      <c r="G189" s="158">
        <v>-2E-3</v>
      </c>
      <c r="H189" s="233" t="s">
        <v>175</v>
      </c>
      <c r="I189" s="233" t="s">
        <v>175</v>
      </c>
      <c r="J189" s="205"/>
      <c r="K189" s="120"/>
      <c r="L189" s="206" t="s">
        <v>399</v>
      </c>
      <c r="M189" s="120"/>
      <c r="N189" s="206" t="s">
        <v>397</v>
      </c>
      <c r="O189" s="120"/>
      <c r="P189" s="18"/>
    </row>
    <row r="190" spans="1:21" s="59" customFormat="1">
      <c r="A190" s="18"/>
      <c r="B190" s="212"/>
      <c r="P190" s="18"/>
    </row>
    <row r="191" spans="1:21" s="59" customFormat="1">
      <c r="A191" s="22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18"/>
    </row>
    <row r="192" spans="1:21" s="59" customFormat="1"/>
    <row r="193" spans="2:6" s="59" customFormat="1"/>
    <row r="194" spans="2:6" s="59" customFormat="1">
      <c r="B194" s="216" t="s">
        <v>311</v>
      </c>
      <c r="C194" s="59" t="s">
        <v>307</v>
      </c>
    </row>
    <row r="195" spans="2:6" s="59" customFormat="1">
      <c r="B195" s="59" t="s">
        <v>312</v>
      </c>
      <c r="C195" s="59" t="s">
        <v>308</v>
      </c>
    </row>
    <row r="196" spans="2:6" s="59" customFormat="1"/>
    <row r="197" spans="2:6" s="59" customFormat="1"/>
    <row r="198" spans="2:6" s="59" customFormat="1">
      <c r="B198" s="59" t="s">
        <v>306</v>
      </c>
      <c r="C198" s="59" t="s">
        <v>309</v>
      </c>
      <c r="F198" s="59" t="s">
        <v>428</v>
      </c>
    </row>
    <row r="199" spans="2:6" s="59" customFormat="1">
      <c r="B199" s="59" t="s">
        <v>349</v>
      </c>
      <c r="C199" s="59" t="s">
        <v>429</v>
      </c>
    </row>
    <row r="200" spans="2:6" s="59" customFormat="1">
      <c r="C200" s="59" t="s">
        <v>523</v>
      </c>
    </row>
    <row r="201" spans="2:6" s="59" customFormat="1"/>
    <row r="202" spans="2:6" s="59" customFormat="1"/>
    <row r="203" spans="2:6" s="59" customFormat="1">
      <c r="B203" s="59" t="s">
        <v>525</v>
      </c>
      <c r="C203" s="59" t="s">
        <v>430</v>
      </c>
    </row>
    <row r="204" spans="2:6" s="59" customFormat="1"/>
    <row r="205" spans="2:6" s="59" customFormat="1">
      <c r="B205" s="59" t="s">
        <v>524</v>
      </c>
    </row>
    <row r="206" spans="2:6" s="59" customFormat="1"/>
    <row r="207" spans="2:6" s="59" customFormat="1"/>
    <row r="208" spans="2:6" s="59" customFormat="1"/>
    <row r="209" spans="1:7" s="59" customFormat="1"/>
    <row r="210" spans="1:7" s="59" customFormat="1">
      <c r="A210" s="215" t="s">
        <v>434</v>
      </c>
      <c r="B210" s="59" t="s">
        <v>441</v>
      </c>
    </row>
    <row r="211" spans="1:7" s="59" customFormat="1"/>
    <row r="212" spans="1:7" s="59" customFormat="1">
      <c r="B212" s="228" t="s">
        <v>315</v>
      </c>
    </row>
    <row r="213" spans="1:7" s="59" customFormat="1"/>
    <row r="214" spans="1:7" s="59" customFormat="1">
      <c r="B214" s="161" t="s">
        <v>342</v>
      </c>
      <c r="C214" s="59" t="s">
        <v>526</v>
      </c>
    </row>
    <row r="215" spans="1:7" s="59" customFormat="1">
      <c r="B215" s="161" t="s">
        <v>343</v>
      </c>
      <c r="C215" s="59" t="s">
        <v>526</v>
      </c>
      <c r="F215" s="57"/>
      <c r="G215" s="57"/>
    </row>
    <row r="216" spans="1:7" s="59" customFormat="1"/>
    <row r="217" spans="1:7" s="59" customFormat="1">
      <c r="B217" s="59" t="s">
        <v>431</v>
      </c>
    </row>
    <row r="218" spans="1:7" s="59" customFormat="1">
      <c r="C218" s="59" t="s">
        <v>527</v>
      </c>
    </row>
    <row r="219" spans="1:7" s="59" customFormat="1"/>
    <row r="220" spans="1:7" s="59" customFormat="1">
      <c r="B220" s="228" t="s">
        <v>435</v>
      </c>
      <c r="D220" s="59" t="s">
        <v>529</v>
      </c>
    </row>
    <row r="221" spans="1:7" s="59" customFormat="1">
      <c r="B221" s="120" t="s">
        <v>433</v>
      </c>
      <c r="C221" s="59" t="s">
        <v>437</v>
      </c>
    </row>
    <row r="222" spans="1:7" s="59" customFormat="1">
      <c r="C222" s="59" t="s">
        <v>528</v>
      </c>
    </row>
    <row r="223" spans="1:7" s="59" customFormat="1">
      <c r="C223" s="59" t="s">
        <v>436</v>
      </c>
    </row>
    <row r="224" spans="1:7" s="59" customFormat="1">
      <c r="B224" s="59" t="s">
        <v>438</v>
      </c>
    </row>
    <row r="225" spans="2:9" s="59" customFormat="1"/>
    <row r="226" spans="2:9" s="59" customFormat="1">
      <c r="B226" s="120" t="s">
        <v>432</v>
      </c>
      <c r="C226" s="59" t="s">
        <v>439</v>
      </c>
    </row>
    <row r="227" spans="2:9" s="59" customFormat="1">
      <c r="C227" s="59" t="s">
        <v>530</v>
      </c>
    </row>
    <row r="228" spans="2:9" s="59" customFormat="1"/>
    <row r="229" spans="2:9" s="59" customFormat="1">
      <c r="B229" s="228" t="s">
        <v>287</v>
      </c>
    </row>
    <row r="230" spans="2:9">
      <c r="C230" s="59" t="s">
        <v>440</v>
      </c>
    </row>
    <row r="231" spans="2:9">
      <c r="C231" s="59"/>
    </row>
    <row r="233" spans="2:9">
      <c r="C233" s="26" t="s">
        <v>447</v>
      </c>
      <c r="D233" s="16"/>
      <c r="E233" s="16"/>
      <c r="F233" s="16"/>
      <c r="G233" s="16"/>
      <c r="H233" s="16"/>
      <c r="I233" s="17"/>
    </row>
    <row r="234" spans="2:9">
      <c r="C234" s="18"/>
      <c r="D234" s="59" t="s">
        <v>450</v>
      </c>
      <c r="E234" s="59"/>
      <c r="F234" s="59"/>
      <c r="G234" s="59"/>
      <c r="H234" s="59"/>
      <c r="I234" s="20"/>
    </row>
    <row r="235" spans="2:9">
      <c r="C235" s="22"/>
      <c r="D235" s="23"/>
      <c r="E235" s="23"/>
      <c r="F235" s="23"/>
      <c r="G235" s="23"/>
      <c r="H235" s="23"/>
      <c r="I235" s="25"/>
    </row>
    <row r="236" spans="2:9">
      <c r="C236" s="26" t="s">
        <v>448</v>
      </c>
      <c r="D236" s="16"/>
      <c r="E236" s="16"/>
      <c r="F236" s="16"/>
      <c r="G236" s="16"/>
      <c r="H236" s="16"/>
      <c r="I236" s="17"/>
    </row>
    <row r="237" spans="2:9" s="59" customFormat="1">
      <c r="C237" s="18"/>
      <c r="D237" s="59" t="s">
        <v>449</v>
      </c>
      <c r="I237" s="20"/>
    </row>
    <row r="238" spans="2:9">
      <c r="C238" s="22"/>
      <c r="D238" s="23"/>
      <c r="E238" s="23"/>
      <c r="F238" s="23"/>
      <c r="G238" s="23"/>
      <c r="H238" s="23"/>
      <c r="I238" s="25"/>
    </row>
    <row r="243" spans="2:8">
      <c r="B243" s="10" t="s">
        <v>176</v>
      </c>
    </row>
    <row r="244" spans="2:8">
      <c r="C244" t="s">
        <v>111</v>
      </c>
      <c r="D244" s="120" t="s">
        <v>313</v>
      </c>
      <c r="E244" s="120" t="s">
        <v>314</v>
      </c>
      <c r="F244" s="59" t="s">
        <v>445</v>
      </c>
    </row>
    <row r="245" spans="2:8">
      <c r="C245" t="s">
        <v>112</v>
      </c>
      <c r="D245" s="120" t="s">
        <v>313</v>
      </c>
      <c r="E245" s="120" t="s">
        <v>314</v>
      </c>
      <c r="F245" s="59" t="s">
        <v>446</v>
      </c>
    </row>
    <row r="247" spans="2:8">
      <c r="C247" t="s">
        <v>177</v>
      </c>
      <c r="D247" t="s">
        <v>179</v>
      </c>
    </row>
    <row r="248" spans="2:8">
      <c r="C248" t="s">
        <v>443</v>
      </c>
      <c r="E248" t="s">
        <v>531</v>
      </c>
    </row>
    <row r="249" spans="2:8">
      <c r="C249" t="s">
        <v>290</v>
      </c>
      <c r="D249" t="s">
        <v>365</v>
      </c>
    </row>
    <row r="250" spans="2:8">
      <c r="C250" t="s">
        <v>451</v>
      </c>
      <c r="D250" t="s">
        <v>371</v>
      </c>
      <c r="E250" t="s">
        <v>420</v>
      </c>
      <c r="F250" t="s">
        <v>532</v>
      </c>
      <c r="H250" t="s">
        <v>452</v>
      </c>
    </row>
    <row r="251" spans="2:8">
      <c r="D251" t="s">
        <v>372</v>
      </c>
      <c r="E251" s="251" t="s">
        <v>426</v>
      </c>
      <c r="F251" s="252" t="s">
        <v>533</v>
      </c>
      <c r="H251" t="s">
        <v>453</v>
      </c>
    </row>
    <row r="252" spans="2:8">
      <c r="H252" t="s">
        <v>454</v>
      </c>
    </row>
    <row r="254" spans="2:8" s="59" customFormat="1">
      <c r="C254" s="59" t="s">
        <v>460</v>
      </c>
    </row>
    <row r="256" spans="2:8">
      <c r="B256" s="10" t="s">
        <v>180</v>
      </c>
      <c r="C256" t="s">
        <v>455</v>
      </c>
    </row>
    <row r="257" spans="4:4">
      <c r="D257" t="s">
        <v>456</v>
      </c>
    </row>
    <row r="258" spans="4:4">
      <c r="D258" t="s">
        <v>457</v>
      </c>
    </row>
    <row r="259" spans="4:4">
      <c r="D259" t="s">
        <v>458</v>
      </c>
    </row>
    <row r="261" spans="4:4">
      <c r="D261" t="s">
        <v>459</v>
      </c>
    </row>
  </sheetData>
  <mergeCells count="15">
    <mergeCell ref="G178:H178"/>
    <mergeCell ref="D178:F178"/>
    <mergeCell ref="D185:F185"/>
    <mergeCell ref="G185:H185"/>
    <mergeCell ref="C20:C22"/>
    <mergeCell ref="C24:C26"/>
    <mergeCell ref="E172:E173"/>
    <mergeCell ref="E174:E175"/>
    <mergeCell ref="E118:E119"/>
    <mergeCell ref="F116:F117"/>
    <mergeCell ref="F118:F119"/>
    <mergeCell ref="F124:G124"/>
    <mergeCell ref="D124:E124"/>
    <mergeCell ref="D130:E130"/>
    <mergeCell ref="F130:G130"/>
  </mergeCells>
  <phoneticPr fontId="11" type="noConversion"/>
  <pageMargins left="0.25" right="0.25" top="0.75" bottom="0.75" header="0.3" footer="0.3"/>
  <pageSetup paperSize="9" scale="44" fitToHeight="0" orientation="landscape" verticalDpi="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9DC75-6193-47FE-887F-492F42081FF7}">
  <sheetPr codeName="Sheet7"/>
  <dimension ref="A1:L32"/>
  <sheetViews>
    <sheetView workbookViewId="0">
      <selection activeCell="H36" sqref="H36"/>
    </sheetView>
  </sheetViews>
  <sheetFormatPr defaultRowHeight="16.5"/>
  <sheetData>
    <row r="1" spans="1:12">
      <c r="A1" s="182" t="s">
        <v>189</v>
      </c>
      <c r="B1" s="179"/>
      <c r="C1" s="179"/>
      <c r="D1" s="179"/>
      <c r="E1" s="179"/>
      <c r="F1" s="179"/>
      <c r="G1" s="179"/>
      <c r="H1" s="179"/>
      <c r="I1" s="179" t="s">
        <v>190</v>
      </c>
      <c r="J1" s="179" t="s">
        <v>191</v>
      </c>
      <c r="K1" s="179"/>
      <c r="L1" s="179"/>
    </row>
    <row r="2" spans="1:12">
      <c r="A2" s="179"/>
      <c r="B2" s="179"/>
      <c r="C2" s="179"/>
      <c r="D2" s="179"/>
      <c r="E2" s="179"/>
      <c r="F2" s="179"/>
      <c r="G2" s="179"/>
      <c r="H2" s="179"/>
      <c r="I2" s="179" t="s">
        <v>87</v>
      </c>
      <c r="J2" s="179" t="s">
        <v>192</v>
      </c>
      <c r="K2" s="179"/>
      <c r="L2" s="179"/>
    </row>
    <row r="3" spans="1:12">
      <c r="A3" s="181" t="s">
        <v>193</v>
      </c>
      <c r="B3" s="179" t="s">
        <v>194</v>
      </c>
      <c r="C3" s="179"/>
      <c r="D3" s="179"/>
      <c r="E3" s="179"/>
      <c r="F3" s="179"/>
      <c r="G3" s="179"/>
      <c r="H3" s="179"/>
      <c r="I3" s="179"/>
      <c r="J3" s="179"/>
      <c r="K3" s="179"/>
      <c r="L3" s="179"/>
    </row>
    <row r="4" spans="1:12">
      <c r="A4" s="179"/>
      <c r="B4" s="179"/>
      <c r="C4" s="179" t="s">
        <v>195</v>
      </c>
      <c r="D4" s="179"/>
      <c r="E4" s="179"/>
      <c r="F4" s="179"/>
      <c r="G4" s="179"/>
      <c r="H4" s="179"/>
      <c r="I4" s="179"/>
      <c r="J4" s="179"/>
      <c r="K4" s="179"/>
      <c r="L4" s="179"/>
    </row>
    <row r="6" spans="1:12">
      <c r="A6" s="179"/>
      <c r="B6" s="179"/>
      <c r="C6" s="179" t="s">
        <v>191</v>
      </c>
      <c r="D6" s="179" t="s">
        <v>196</v>
      </c>
      <c r="E6" s="179"/>
      <c r="F6" s="179"/>
      <c r="G6" s="179"/>
      <c r="H6" s="179"/>
      <c r="I6" s="179"/>
      <c r="J6" s="179"/>
      <c r="K6" s="179"/>
      <c r="L6" s="179"/>
    </row>
    <row r="8" spans="1:12">
      <c r="A8" s="179"/>
      <c r="B8" s="179"/>
      <c r="C8" s="180" t="s">
        <v>197</v>
      </c>
      <c r="D8" s="180" t="s">
        <v>198</v>
      </c>
      <c r="E8" s="180" t="s">
        <v>199</v>
      </c>
      <c r="F8" s="180" t="s">
        <v>200</v>
      </c>
      <c r="G8" s="180" t="s">
        <v>201</v>
      </c>
      <c r="H8" s="180" t="s">
        <v>202</v>
      </c>
      <c r="I8" s="180" t="s">
        <v>203</v>
      </c>
      <c r="J8" s="180" t="s">
        <v>204</v>
      </c>
      <c r="K8" s="180" t="s">
        <v>205</v>
      </c>
      <c r="L8" s="180" t="s">
        <v>206</v>
      </c>
    </row>
    <row r="9" spans="1:12">
      <c r="A9" s="179"/>
      <c r="B9" s="179"/>
      <c r="C9" s="180"/>
      <c r="D9" s="180"/>
      <c r="E9" s="180"/>
      <c r="F9" s="180"/>
      <c r="G9" s="180"/>
      <c r="H9" s="180"/>
      <c r="I9" s="180"/>
      <c r="J9" s="180"/>
      <c r="K9" s="180"/>
      <c r="L9" s="180"/>
    </row>
    <row r="11" spans="1:12">
      <c r="A11" s="179"/>
      <c r="B11" s="179"/>
      <c r="C11" s="179" t="s">
        <v>207</v>
      </c>
      <c r="D11" s="179"/>
      <c r="E11" s="179"/>
      <c r="F11" s="179"/>
      <c r="G11" s="179"/>
      <c r="H11" s="179"/>
      <c r="I11" s="179"/>
      <c r="J11" s="179"/>
      <c r="K11" s="179"/>
      <c r="L11" s="179"/>
    </row>
    <row r="13" spans="1:12">
      <c r="A13" s="179"/>
      <c r="B13" s="179"/>
      <c r="C13" s="180" t="s">
        <v>197</v>
      </c>
      <c r="D13" s="180" t="s">
        <v>198</v>
      </c>
      <c r="E13" s="180" t="s">
        <v>199</v>
      </c>
      <c r="F13" s="180" t="s">
        <v>200</v>
      </c>
      <c r="G13" s="180" t="s">
        <v>201</v>
      </c>
      <c r="H13" s="180" t="s">
        <v>202</v>
      </c>
      <c r="I13" s="180" t="s">
        <v>203</v>
      </c>
      <c r="J13" s="180" t="s">
        <v>204</v>
      </c>
      <c r="K13" s="180" t="s">
        <v>205</v>
      </c>
      <c r="L13" s="180" t="s">
        <v>206</v>
      </c>
    </row>
    <row r="14" spans="1:12">
      <c r="A14" s="179"/>
      <c r="B14" s="179"/>
      <c r="C14" s="180"/>
      <c r="D14" s="180"/>
      <c r="E14" s="180"/>
      <c r="F14" s="180"/>
      <c r="G14" s="180"/>
      <c r="H14" s="180"/>
      <c r="I14" s="180"/>
      <c r="J14" s="180"/>
      <c r="K14" s="180"/>
      <c r="L14" s="180"/>
    </row>
    <row r="17" spans="2:12" ht="17.25" thickBot="1">
      <c r="B17" s="179"/>
      <c r="C17" s="181" t="s">
        <v>208</v>
      </c>
      <c r="D17" s="179"/>
      <c r="E17" s="179"/>
      <c r="F17" s="179"/>
      <c r="G17" s="179"/>
      <c r="H17" s="179"/>
      <c r="I17" s="179"/>
      <c r="J17" s="179"/>
      <c r="K17" s="179"/>
      <c r="L17" s="179"/>
    </row>
    <row r="18" spans="2:12">
      <c r="B18" s="179"/>
      <c r="C18" s="179"/>
      <c r="D18" s="406">
        <v>6.0000000000000001E-3</v>
      </c>
      <c r="E18" s="179"/>
      <c r="F18" s="406">
        <v>-1E-3</v>
      </c>
      <c r="G18" s="179"/>
      <c r="H18" s="179"/>
      <c r="I18" s="179"/>
      <c r="J18" s="179"/>
      <c r="K18" s="179"/>
      <c r="L18" s="179"/>
    </row>
    <row r="19" spans="2:12" ht="17.25" thickBot="1">
      <c r="B19" s="179"/>
      <c r="C19" s="179"/>
      <c r="D19" s="407"/>
      <c r="E19" s="179"/>
      <c r="F19" s="407"/>
      <c r="G19" s="179"/>
      <c r="H19" s="179"/>
      <c r="I19" s="179" t="s">
        <v>209</v>
      </c>
      <c r="J19" s="179"/>
      <c r="K19" s="179"/>
      <c r="L19" s="179"/>
    </row>
    <row r="20" spans="2:12" ht="17.25" thickBot="1">
      <c r="B20" s="179"/>
      <c r="C20" s="181" t="s">
        <v>210</v>
      </c>
      <c r="D20" s="183">
        <v>2</v>
      </c>
      <c r="E20" s="181" t="s">
        <v>211</v>
      </c>
      <c r="F20" s="183">
        <v>2</v>
      </c>
      <c r="G20" s="179"/>
      <c r="H20" s="179"/>
      <c r="I20" s="179"/>
      <c r="J20" s="179"/>
      <c r="K20" s="179"/>
      <c r="L20" s="179"/>
    </row>
    <row r="22" spans="2:12">
      <c r="B22" s="179"/>
      <c r="C22" s="179" t="s">
        <v>212</v>
      </c>
      <c r="D22" s="179" t="s">
        <v>210</v>
      </c>
      <c r="E22" s="179" t="s">
        <v>213</v>
      </c>
      <c r="F22" s="179"/>
      <c r="G22" s="179"/>
      <c r="H22" s="179"/>
      <c r="I22" s="179"/>
      <c r="J22" s="179"/>
      <c r="K22" s="179"/>
      <c r="L22" s="179"/>
    </row>
    <row r="23" spans="2:12">
      <c r="B23" s="179"/>
      <c r="C23" s="179" t="s">
        <v>214</v>
      </c>
      <c r="D23" s="179" t="s">
        <v>211</v>
      </c>
      <c r="E23" s="179" t="s">
        <v>215</v>
      </c>
      <c r="F23" s="179"/>
      <c r="G23" s="179"/>
      <c r="H23" s="179"/>
      <c r="I23" s="179"/>
      <c r="J23" s="179"/>
      <c r="K23" s="179"/>
      <c r="L23" s="179"/>
    </row>
    <row r="27" spans="2:12">
      <c r="B27" s="179">
        <v>1</v>
      </c>
      <c r="C27" s="179" t="s">
        <v>216</v>
      </c>
      <c r="D27" s="179"/>
      <c r="E27" s="179"/>
      <c r="F27" s="179"/>
      <c r="G27" s="179"/>
      <c r="H27" s="179"/>
      <c r="I27" s="179"/>
      <c r="J27" s="179"/>
      <c r="K27" s="179"/>
      <c r="L27" s="179"/>
    </row>
    <row r="29" spans="2:12">
      <c r="B29" s="179"/>
      <c r="C29" s="179" t="s">
        <v>217</v>
      </c>
      <c r="D29" s="179"/>
      <c r="E29" s="179"/>
      <c r="F29" s="179"/>
      <c r="G29" s="179"/>
      <c r="H29" s="179"/>
      <c r="I29" s="179"/>
      <c r="J29" s="179"/>
      <c r="K29" s="179"/>
      <c r="L29" s="179"/>
    </row>
    <row r="30" spans="2:12">
      <c r="B30" s="179"/>
      <c r="C30" s="179"/>
      <c r="D30" s="179"/>
      <c r="E30" s="179" t="s">
        <v>218</v>
      </c>
      <c r="F30" s="179" t="s">
        <v>219</v>
      </c>
      <c r="G30" s="179"/>
      <c r="H30" s="179"/>
      <c r="I30" s="179"/>
      <c r="J30" s="179"/>
      <c r="K30" s="179"/>
      <c r="L30" s="179"/>
    </row>
    <row r="31" spans="2:12">
      <c r="B31" s="179"/>
      <c r="C31" s="179" t="s">
        <v>210</v>
      </c>
      <c r="D31" s="408" t="s">
        <v>220</v>
      </c>
      <c r="E31" s="408"/>
      <c r="F31" s="408"/>
      <c r="G31" s="179" t="s">
        <v>211</v>
      </c>
      <c r="H31" s="179"/>
      <c r="I31" s="179"/>
      <c r="J31" s="179"/>
      <c r="K31" s="179"/>
      <c r="L31" s="179" t="s">
        <v>221</v>
      </c>
    </row>
    <row r="32" spans="2:12">
      <c r="B32" s="179"/>
      <c r="C32" s="179"/>
      <c r="D32" s="409"/>
      <c r="E32" s="409"/>
      <c r="F32" s="409"/>
      <c r="G32" s="179"/>
      <c r="H32" s="179"/>
      <c r="I32" s="179"/>
      <c r="J32" s="179"/>
      <c r="K32" s="179"/>
      <c r="L32" s="179"/>
    </row>
  </sheetData>
  <mergeCells count="5">
    <mergeCell ref="D18:D19"/>
    <mergeCell ref="F18:F19"/>
    <mergeCell ref="D31:D32"/>
    <mergeCell ref="E31:E32"/>
    <mergeCell ref="F31:F32"/>
  </mergeCells>
  <phoneticPr fontId="1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AD180-6C21-48E7-84A2-ABEBF750CB1E}">
  <sheetPr codeName="Sheet8"/>
  <dimension ref="A1:Q48"/>
  <sheetViews>
    <sheetView workbookViewId="0"/>
  </sheetViews>
  <sheetFormatPr defaultRowHeight="16.5"/>
  <sheetData>
    <row r="1" spans="1:17">
      <c r="A1" s="179"/>
      <c r="B1" s="179"/>
      <c r="C1" s="179"/>
      <c r="D1" s="179" t="s">
        <v>222</v>
      </c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</row>
    <row r="3" spans="1:17">
      <c r="A3" s="179" t="s">
        <v>223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</row>
    <row r="5" spans="1:17">
      <c r="A5" s="179" t="s">
        <v>224</v>
      </c>
      <c r="B5" s="179"/>
      <c r="C5" s="179" t="s">
        <v>225</v>
      </c>
      <c r="D5" s="179"/>
      <c r="E5" s="179" t="s">
        <v>226</v>
      </c>
      <c r="F5" s="179" t="s">
        <v>227</v>
      </c>
      <c r="G5" s="179" t="s">
        <v>228</v>
      </c>
      <c r="H5" s="179"/>
      <c r="I5" s="179"/>
      <c r="J5" s="179"/>
      <c r="K5" s="179"/>
      <c r="L5" s="179"/>
      <c r="M5" s="179"/>
      <c r="N5" s="179"/>
      <c r="O5" s="179"/>
      <c r="P5" s="179"/>
      <c r="Q5" s="179"/>
    </row>
    <row r="7" spans="1:17">
      <c r="A7" s="179" t="s">
        <v>229</v>
      </c>
      <c r="B7" s="184" t="s">
        <v>230</v>
      </c>
      <c r="C7" s="179"/>
      <c r="D7" s="179"/>
      <c r="E7" s="179"/>
      <c r="F7" s="179"/>
      <c r="G7" s="179"/>
      <c r="H7" s="179"/>
      <c r="I7" s="179"/>
      <c r="J7" s="179"/>
      <c r="K7" s="179"/>
      <c r="L7" s="179"/>
      <c r="M7" s="179"/>
      <c r="N7" s="179"/>
      <c r="O7" s="179"/>
      <c r="P7" s="179"/>
      <c r="Q7" s="179"/>
    </row>
    <row r="8" spans="1:17">
      <c r="A8" s="179"/>
      <c r="B8" s="184" t="s">
        <v>191</v>
      </c>
      <c r="C8" s="179" t="s">
        <v>231</v>
      </c>
      <c r="D8" s="179"/>
      <c r="E8" s="179"/>
      <c r="F8" s="179"/>
      <c r="G8" s="179"/>
      <c r="H8" s="179"/>
      <c r="I8" s="179" t="s">
        <v>232</v>
      </c>
      <c r="J8" s="179"/>
      <c r="K8" s="179"/>
      <c r="L8" s="179"/>
      <c r="M8" s="179"/>
      <c r="N8" s="179"/>
      <c r="O8" s="179"/>
      <c r="P8" s="179"/>
      <c r="Q8" s="179"/>
    </row>
    <row r="9" spans="1:17">
      <c r="A9" s="179"/>
      <c r="B9" s="184" t="s">
        <v>40</v>
      </c>
      <c r="C9" s="179" t="s">
        <v>231</v>
      </c>
      <c r="D9" s="179"/>
      <c r="E9" s="179"/>
      <c r="F9" s="179"/>
      <c r="G9" s="179"/>
      <c r="H9" s="179"/>
      <c r="I9" s="179"/>
      <c r="J9" s="179"/>
      <c r="K9" s="179"/>
      <c r="L9" s="179"/>
      <c r="M9" s="179"/>
      <c r="N9" s="179"/>
      <c r="O9" s="179"/>
      <c r="P9" s="179"/>
      <c r="Q9" s="179"/>
    </row>
    <row r="10" spans="1:17">
      <c r="A10" s="179"/>
      <c r="B10" s="184" t="s">
        <v>233</v>
      </c>
      <c r="C10" s="179"/>
      <c r="D10" s="179"/>
      <c r="E10" s="179"/>
      <c r="F10" s="179"/>
      <c r="G10" s="179"/>
      <c r="H10" s="179"/>
      <c r="I10" s="179"/>
      <c r="J10" s="179"/>
      <c r="K10" s="179"/>
      <c r="L10" s="179"/>
      <c r="M10" s="179"/>
      <c r="N10" s="179"/>
      <c r="O10" s="179"/>
      <c r="P10" s="179"/>
      <c r="Q10" s="179"/>
    </row>
    <row r="13" spans="1:17">
      <c r="A13" s="179" t="s">
        <v>234</v>
      </c>
      <c r="B13" s="179"/>
      <c r="C13" s="179"/>
      <c r="D13" s="179"/>
      <c r="E13" s="179"/>
      <c r="F13" s="179"/>
      <c r="G13" s="179"/>
      <c r="H13" s="179" t="s">
        <v>235</v>
      </c>
      <c r="I13" s="179"/>
      <c r="J13" s="179"/>
      <c r="K13" s="179"/>
      <c r="L13" s="179"/>
      <c r="M13" s="179"/>
      <c r="N13" s="179"/>
      <c r="O13" s="179"/>
      <c r="P13" s="179"/>
      <c r="Q13" s="179"/>
    </row>
    <row r="14" spans="1:17">
      <c r="A14" s="179" t="s">
        <v>236</v>
      </c>
      <c r="B14" s="179"/>
      <c r="C14" s="179"/>
      <c r="D14" s="179"/>
      <c r="E14" s="179"/>
      <c r="F14" s="179"/>
      <c r="G14" s="179"/>
      <c r="H14" s="179"/>
      <c r="I14" s="179"/>
      <c r="J14" s="179"/>
      <c r="K14" s="179"/>
      <c r="L14" s="179"/>
      <c r="M14" s="179"/>
      <c r="N14" s="179"/>
      <c r="O14" s="179"/>
      <c r="P14" s="179"/>
      <c r="Q14" s="179"/>
    </row>
    <row r="15" spans="1:17">
      <c r="A15" s="179" t="s">
        <v>191</v>
      </c>
      <c r="B15" s="179"/>
      <c r="C15" s="179"/>
      <c r="D15" s="179"/>
      <c r="E15" s="179"/>
      <c r="F15" s="179"/>
      <c r="G15" s="179"/>
      <c r="H15" s="179"/>
      <c r="I15" s="179"/>
      <c r="J15" s="179"/>
      <c r="K15" s="179"/>
      <c r="L15" s="179"/>
      <c r="M15" s="179"/>
      <c r="N15" s="179"/>
      <c r="O15" s="179"/>
      <c r="P15" s="179"/>
      <c r="Q15" s="179"/>
    </row>
    <row r="16" spans="1:17">
      <c r="A16" s="179"/>
      <c r="B16" s="190" t="s">
        <v>237</v>
      </c>
      <c r="C16" s="191"/>
      <c r="D16" s="190" t="s">
        <v>238</v>
      </c>
      <c r="E16" s="192"/>
      <c r="F16" s="191" t="s">
        <v>239</v>
      </c>
      <c r="G16" s="191"/>
      <c r="H16" s="180" t="s">
        <v>240</v>
      </c>
      <c r="I16" s="179"/>
      <c r="J16" s="179"/>
      <c r="K16" s="190" t="s">
        <v>241</v>
      </c>
      <c r="L16" s="191"/>
      <c r="M16" s="190" t="s">
        <v>242</v>
      </c>
      <c r="N16" s="192"/>
      <c r="O16" s="191" t="s">
        <v>243</v>
      </c>
      <c r="P16" s="191"/>
      <c r="Q16" s="180" t="s">
        <v>240</v>
      </c>
    </row>
    <row r="17" spans="1:17">
      <c r="A17" s="179"/>
      <c r="B17" s="185"/>
      <c r="C17" s="179"/>
      <c r="D17" s="185"/>
      <c r="E17" s="186"/>
      <c r="F17" s="179"/>
      <c r="G17" s="179"/>
      <c r="H17" s="193"/>
      <c r="I17" s="179"/>
      <c r="J17" s="179"/>
      <c r="K17" s="185"/>
      <c r="L17" s="179"/>
      <c r="M17" s="185"/>
      <c r="N17" s="186"/>
      <c r="O17" s="179"/>
      <c r="P17" s="179"/>
      <c r="Q17" s="193"/>
    </row>
    <row r="18" spans="1:17">
      <c r="A18" s="179"/>
      <c r="B18" s="185"/>
      <c r="C18" s="179"/>
      <c r="D18" s="185"/>
      <c r="E18" s="186"/>
      <c r="F18" s="179"/>
      <c r="G18" s="179"/>
      <c r="H18" s="193"/>
      <c r="I18" s="179"/>
      <c r="J18" s="179"/>
      <c r="K18" s="185"/>
      <c r="L18" s="179"/>
      <c r="M18" s="185"/>
      <c r="N18" s="186"/>
      <c r="O18" s="179"/>
      <c r="P18" s="179"/>
      <c r="Q18" s="193"/>
    </row>
    <row r="19" spans="1:17">
      <c r="A19" s="179"/>
      <c r="B19" s="185"/>
      <c r="C19" s="179"/>
      <c r="D19" s="185"/>
      <c r="E19" s="186"/>
      <c r="F19" s="179"/>
      <c r="G19" s="179"/>
      <c r="H19" s="193"/>
      <c r="I19" s="179"/>
      <c r="J19" s="179"/>
      <c r="K19" s="185"/>
      <c r="L19" s="179"/>
      <c r="M19" s="185"/>
      <c r="N19" s="186"/>
      <c r="O19" s="179"/>
      <c r="P19" s="179"/>
      <c r="Q19" s="193"/>
    </row>
    <row r="20" spans="1:17">
      <c r="A20" s="179"/>
      <c r="B20" s="185"/>
      <c r="C20" s="179"/>
      <c r="D20" s="185"/>
      <c r="E20" s="186"/>
      <c r="F20" s="179"/>
      <c r="G20" s="179"/>
      <c r="H20" s="193"/>
      <c r="I20" s="179"/>
      <c r="J20" s="179"/>
      <c r="K20" s="185"/>
      <c r="L20" s="179"/>
      <c r="M20" s="185"/>
      <c r="N20" s="186"/>
      <c r="O20" s="179"/>
      <c r="P20" s="179"/>
      <c r="Q20" s="193"/>
    </row>
    <row r="21" spans="1:17">
      <c r="A21" s="179"/>
      <c r="B21" s="185"/>
      <c r="C21" s="179"/>
      <c r="D21" s="185"/>
      <c r="E21" s="186"/>
      <c r="F21" s="179"/>
      <c r="G21" s="179"/>
      <c r="H21" s="193"/>
      <c r="I21" s="179"/>
      <c r="J21" s="179"/>
      <c r="K21" s="185"/>
      <c r="L21" s="179"/>
      <c r="M21" s="185"/>
      <c r="N21" s="186"/>
      <c r="O21" s="179"/>
      <c r="P21" s="179"/>
      <c r="Q21" s="193"/>
    </row>
    <row r="22" spans="1:17">
      <c r="A22" s="179"/>
      <c r="B22" s="187"/>
      <c r="C22" s="188"/>
      <c r="D22" s="187"/>
      <c r="E22" s="189"/>
      <c r="F22" s="188"/>
      <c r="G22" s="188"/>
      <c r="H22" s="194"/>
      <c r="I22" s="179"/>
      <c r="J22" s="179"/>
      <c r="K22" s="187"/>
      <c r="L22" s="188"/>
      <c r="M22" s="187"/>
      <c r="N22" s="189"/>
      <c r="O22" s="188"/>
      <c r="P22" s="188"/>
      <c r="Q22" s="194"/>
    </row>
    <row r="23" spans="1:17">
      <c r="A23" s="179" t="s">
        <v>244</v>
      </c>
      <c r="B23" s="190"/>
      <c r="C23" s="191"/>
      <c r="D23" s="190"/>
      <c r="E23" s="192"/>
      <c r="F23" s="191"/>
      <c r="G23" s="191"/>
      <c r="H23" s="180"/>
      <c r="I23" s="179"/>
      <c r="J23" s="179"/>
      <c r="K23" s="190"/>
      <c r="L23" s="191"/>
      <c r="M23" s="190"/>
      <c r="N23" s="192"/>
      <c r="O23" s="191"/>
      <c r="P23" s="191"/>
      <c r="Q23" s="180"/>
    </row>
    <row r="28" spans="1:17">
      <c r="A28" s="179" t="s">
        <v>245</v>
      </c>
      <c r="B28" s="179"/>
      <c r="C28" s="179"/>
      <c r="D28" s="179"/>
      <c r="E28" s="179"/>
      <c r="F28" s="179"/>
      <c r="G28" s="179"/>
      <c r="H28" s="179"/>
      <c r="I28" s="179"/>
      <c r="J28" s="179"/>
      <c r="K28" s="179"/>
      <c r="L28" s="179"/>
      <c r="M28" s="179"/>
      <c r="N28" s="179"/>
      <c r="O28" s="179"/>
      <c r="P28" s="179"/>
      <c r="Q28" s="179"/>
    </row>
    <row r="30" spans="1:17">
      <c r="A30" s="179"/>
      <c r="B30" s="179" t="s">
        <v>224</v>
      </c>
      <c r="C30" s="179"/>
      <c r="D30" s="179" t="s">
        <v>225</v>
      </c>
      <c r="E30" s="179"/>
      <c r="F30" s="179" t="s">
        <v>226</v>
      </c>
      <c r="G30" s="179" t="s">
        <v>227</v>
      </c>
      <c r="H30" s="179" t="s">
        <v>228</v>
      </c>
      <c r="I30" s="179"/>
      <c r="J30" s="179"/>
      <c r="K30" s="179"/>
      <c r="L30" s="179"/>
      <c r="M30" s="179"/>
      <c r="N30" s="179"/>
      <c r="O30" s="179"/>
      <c r="P30" s="179"/>
      <c r="Q30" s="179"/>
    </row>
    <row r="32" spans="1:17">
      <c r="A32" s="179" t="s">
        <v>230</v>
      </c>
      <c r="B32" s="179" t="s">
        <v>246</v>
      </c>
      <c r="C32" s="179" t="s">
        <v>247</v>
      </c>
      <c r="D32" s="179" t="s">
        <v>248</v>
      </c>
      <c r="E32" s="179" t="s">
        <v>249</v>
      </c>
      <c r="F32" s="179" t="s">
        <v>250</v>
      </c>
      <c r="G32" s="179" t="s">
        <v>248</v>
      </c>
      <c r="H32" s="179"/>
      <c r="I32" s="179" t="s">
        <v>251</v>
      </c>
      <c r="J32" s="179" t="s">
        <v>252</v>
      </c>
      <c r="K32" s="179" t="s">
        <v>253</v>
      </c>
      <c r="L32" s="179"/>
      <c r="M32" s="179"/>
      <c r="N32" s="179"/>
      <c r="O32" s="179"/>
      <c r="P32" s="179"/>
      <c r="Q32" s="179"/>
    </row>
    <row r="34" spans="1:10">
      <c r="A34" s="179" t="s">
        <v>244</v>
      </c>
      <c r="B34" s="179" t="s">
        <v>254</v>
      </c>
      <c r="C34" s="179" t="s">
        <v>255</v>
      </c>
      <c r="D34" s="179" t="s">
        <v>256</v>
      </c>
      <c r="E34" s="179" t="s">
        <v>257</v>
      </c>
      <c r="F34" s="179" t="s">
        <v>258</v>
      </c>
      <c r="G34" s="179" t="s">
        <v>259</v>
      </c>
      <c r="H34" s="179"/>
      <c r="I34" s="179" t="s">
        <v>260</v>
      </c>
      <c r="J34" s="179" t="s">
        <v>261</v>
      </c>
    </row>
    <row r="40" spans="1:10">
      <c r="A40" s="179" t="s">
        <v>191</v>
      </c>
      <c r="B40" s="179"/>
      <c r="C40" s="179"/>
      <c r="D40" s="179"/>
      <c r="E40" s="179"/>
      <c r="F40" s="179"/>
      <c r="G40" s="179"/>
      <c r="H40" s="179"/>
      <c r="I40" s="179"/>
      <c r="J40" s="179"/>
    </row>
    <row r="44" spans="1:10">
      <c r="A44" s="179" t="s">
        <v>40</v>
      </c>
      <c r="B44" s="179"/>
      <c r="C44" s="179"/>
      <c r="D44" s="179"/>
      <c r="E44" s="179"/>
      <c r="F44" s="179"/>
      <c r="G44" s="179"/>
      <c r="H44" s="179"/>
      <c r="I44" s="179"/>
      <c r="J44" s="179"/>
    </row>
    <row r="48" spans="1:10">
      <c r="A48" s="179" t="s">
        <v>262</v>
      </c>
      <c r="B48" s="179"/>
      <c r="C48" s="179"/>
      <c r="D48" s="179"/>
      <c r="E48" s="179"/>
      <c r="F48" s="179"/>
      <c r="G48" s="179"/>
      <c r="H48" s="179"/>
      <c r="I48" s="179"/>
      <c r="J48" s="179"/>
    </row>
  </sheetData>
  <phoneticPr fontId="1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48B97-710C-434E-9462-824E4EBDEF5C}">
  <sheetPr codeName="Sheet9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495</v>
      </c>
    </row>
    <row r="2" spans="1:1">
      <c r="A2" t="s">
        <v>494</v>
      </c>
    </row>
    <row r="4" spans="1:1">
      <c r="A4" t="s">
        <v>496</v>
      </c>
    </row>
    <row r="5" spans="1:1">
      <c r="A5" t="s">
        <v>497</v>
      </c>
    </row>
  </sheetData>
  <phoneticPr fontId="1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시세</vt:lpstr>
      <vt:lpstr>메인</vt:lpstr>
      <vt:lpstr>data</vt:lpstr>
      <vt:lpstr>Sheet5</vt:lpstr>
      <vt:lpstr>memo</vt:lpstr>
      <vt:lpstr>0812주문화면</vt:lpstr>
      <vt:lpstr>Sheet2</vt:lpstr>
      <vt:lpstr>Sheet3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용규 박</cp:lastModifiedBy>
  <cp:lastPrinted>2026-07-28T10:38:39Z</cp:lastPrinted>
  <dcterms:created xsi:type="dcterms:W3CDTF">2026-06-14T23:29:08Z</dcterms:created>
  <dcterms:modified xsi:type="dcterms:W3CDTF">2026-08-21T06:53:54Z</dcterms:modified>
</cp:coreProperties>
</file>